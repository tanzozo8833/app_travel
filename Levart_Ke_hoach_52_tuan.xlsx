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husteduvn-my.sharepoint.com/personal/tan_hd225924_sis_hust_edu_vn/Documents/Documents/App_Travel/app_travel/"/>
    </mc:Choice>
  </mc:AlternateContent>
  <xr:revisionPtr revIDLastSave="0" documentId="11_CE17B8CECD2418676C522C294F9D26781437456F" xr6:coauthVersionLast="47" xr6:coauthVersionMax="47" xr10:uidLastSave="{00000000-0000-0000-0000-000000000000}"/>
  <bookViews>
    <workbookView xWindow="-110" yWindow="-110" windowWidth="25820" windowHeight="15500" xr2:uid="{00000000-000D-0000-FFFF-FFFF00000000}"/>
  </bookViews>
  <sheets>
    <sheet name="00_Tổng quan" sheetId="1" r:id="rId1"/>
    <sheet name="C1_T01-08" sheetId="2" r:id="rId2"/>
    <sheet name="C2_T09-16" sheetId="3" r:id="rId3"/>
    <sheet name="C3_T17-24" sheetId="4" r:id="rId4"/>
    <sheet name="C4_T25-32" sheetId="5" r:id="rId5"/>
    <sheet name="C5_T33-40" sheetId="6" r:id="rId6"/>
    <sheet name="C6_T41-48" sheetId="7" r:id="rId7"/>
    <sheet name="C7_T49-52" sheetId="8" r:id="rId8"/>
    <sheet name="Chú giải" sheetId="9" r:id="rId9"/>
  </sheets>
  <definedNames>
    <definedName name="NGAY_BAT_DAU">'00_Tổng quan'!$D$4</definedName>
    <definedName name="_xlnm.Print_Titles" localSheetId="0">'00_Tổng quan'!$7:$7</definedName>
    <definedName name="_xlnm.Print_Titles" localSheetId="1">'C1_T01-08'!$4:$4</definedName>
    <definedName name="_xlnm.Print_Titles" localSheetId="2">'C2_T09-16'!$4:$4</definedName>
    <definedName name="_xlnm.Print_Titles" localSheetId="3">'C3_T17-24'!$4:$4</definedName>
    <definedName name="_xlnm.Print_Titles" localSheetId="4">'C4_T25-32'!$4:$4</definedName>
    <definedName name="_xlnm.Print_Titles" localSheetId="5">'C5_T33-40'!$4:$4</definedName>
    <definedName name="_xlnm.Print_Titles" localSheetId="6">'C6_T41-48'!$4:$4</definedName>
    <definedName name="_xlnm.Print_Titles" localSheetId="7">'C7_T49-52'!$4:$4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6" i="2"/>
  <c r="G7" i="2"/>
  <c r="F35" i="9"/>
  <c r="E35" i="9"/>
  <c r="F34" i="9"/>
  <c r="E34" i="9"/>
  <c r="F33" i="9"/>
  <c r="E33" i="9"/>
  <c r="F32" i="9"/>
  <c r="E32" i="9"/>
  <c r="F31" i="9"/>
  <c r="E31" i="9"/>
  <c r="F30" i="9"/>
  <c r="E30" i="9"/>
  <c r="F29" i="9"/>
  <c r="F36" i="9" s="1"/>
  <c r="E29" i="9"/>
  <c r="H15" i="8"/>
  <c r="G15" i="8"/>
  <c r="A14" i="8"/>
  <c r="H13" i="8"/>
  <c r="G13" i="8"/>
  <c r="H12" i="8"/>
  <c r="G12" i="8"/>
  <c r="A11" i="8"/>
  <c r="H10" i="8"/>
  <c r="G10" i="8"/>
  <c r="H9" i="8"/>
  <c r="G9" i="8"/>
  <c r="A8" i="8"/>
  <c r="H7" i="8"/>
  <c r="G7" i="8"/>
  <c r="H6" i="8"/>
  <c r="G6" i="8"/>
  <c r="A5" i="8"/>
  <c r="A2" i="8"/>
  <c r="H35" i="7"/>
  <c r="G35" i="7"/>
  <c r="A34" i="7"/>
  <c r="H33" i="7"/>
  <c r="G33" i="7"/>
  <c r="H32" i="7"/>
  <c r="G32" i="7"/>
  <c r="H31" i="7"/>
  <c r="G31" i="7"/>
  <c r="A30" i="7"/>
  <c r="H29" i="7"/>
  <c r="G29" i="7"/>
  <c r="H28" i="7"/>
  <c r="G28" i="7"/>
  <c r="A27" i="7"/>
  <c r="H26" i="7"/>
  <c r="G26" i="7"/>
  <c r="H25" i="7"/>
  <c r="G25" i="7"/>
  <c r="H24" i="7"/>
  <c r="G24" i="7"/>
  <c r="A23" i="7"/>
  <c r="H22" i="7"/>
  <c r="G22" i="7"/>
  <c r="H21" i="7"/>
  <c r="G21" i="7"/>
  <c r="H20" i="7"/>
  <c r="G20" i="7"/>
  <c r="A19" i="7"/>
  <c r="H18" i="7"/>
  <c r="G18" i="7"/>
  <c r="H17" i="7"/>
  <c r="G17" i="7"/>
  <c r="H16" i="7"/>
  <c r="G16" i="7"/>
  <c r="A15" i="7"/>
  <c r="H14" i="7"/>
  <c r="G14" i="7"/>
  <c r="H13" i="7"/>
  <c r="G13" i="7"/>
  <c r="H12" i="7"/>
  <c r="G12" i="7"/>
  <c r="A11" i="7"/>
  <c r="H10" i="7"/>
  <c r="G10" i="7"/>
  <c r="H9" i="7"/>
  <c r="G9" i="7"/>
  <c r="H8" i="7"/>
  <c r="G8" i="7"/>
  <c r="H7" i="7"/>
  <c r="G7" i="7"/>
  <c r="H6" i="7"/>
  <c r="G6" i="7"/>
  <c r="A5" i="7"/>
  <c r="A2" i="7"/>
  <c r="D34" i="9" s="1"/>
  <c r="H38" i="6"/>
  <c r="G38" i="6"/>
  <c r="H37" i="6"/>
  <c r="G37" i="6"/>
  <c r="H36" i="6"/>
  <c r="G36" i="6"/>
  <c r="A35" i="6"/>
  <c r="H34" i="6"/>
  <c r="G34" i="6"/>
  <c r="H33" i="6"/>
  <c r="G33" i="6"/>
  <c r="H32" i="6"/>
  <c r="G32" i="6"/>
  <c r="A31" i="6"/>
  <c r="H30" i="6"/>
  <c r="G30" i="6"/>
  <c r="H29" i="6"/>
  <c r="G29" i="6"/>
  <c r="H28" i="6"/>
  <c r="G28" i="6"/>
  <c r="A27" i="6"/>
  <c r="H26" i="6"/>
  <c r="G26" i="6"/>
  <c r="H25" i="6"/>
  <c r="G25" i="6"/>
  <c r="H24" i="6"/>
  <c r="G24" i="6"/>
  <c r="A23" i="6"/>
  <c r="H22" i="6"/>
  <c r="G22" i="6"/>
  <c r="H21" i="6"/>
  <c r="G21" i="6"/>
  <c r="A20" i="6"/>
  <c r="H19" i="6"/>
  <c r="G19" i="6"/>
  <c r="H18" i="6"/>
  <c r="G18" i="6"/>
  <c r="H17" i="6"/>
  <c r="G17" i="6"/>
  <c r="H16" i="6"/>
  <c r="G16" i="6"/>
  <c r="A15" i="6"/>
  <c r="H14" i="6"/>
  <c r="G14" i="6"/>
  <c r="H13" i="6"/>
  <c r="G13" i="6"/>
  <c r="H12" i="6"/>
  <c r="G12" i="6"/>
  <c r="H11" i="6"/>
  <c r="G11" i="6"/>
  <c r="A10" i="6"/>
  <c r="H9" i="6"/>
  <c r="G9" i="6"/>
  <c r="H8" i="6"/>
  <c r="G8" i="6"/>
  <c r="H7" i="6"/>
  <c r="G7" i="6"/>
  <c r="H6" i="6"/>
  <c r="G6" i="6"/>
  <c r="A5" i="6"/>
  <c r="A2" i="6"/>
  <c r="D33" i="9" s="1"/>
  <c r="H45" i="5"/>
  <c r="G45" i="5"/>
  <c r="H44" i="5"/>
  <c r="G44" i="5"/>
  <c r="H43" i="5"/>
  <c r="G43" i="5"/>
  <c r="A42" i="5"/>
  <c r="H41" i="5"/>
  <c r="G41" i="5"/>
  <c r="H40" i="5"/>
  <c r="G40" i="5"/>
  <c r="H39" i="5"/>
  <c r="G39" i="5"/>
  <c r="H38" i="5"/>
  <c r="G38" i="5"/>
  <c r="A37" i="5"/>
  <c r="H36" i="5"/>
  <c r="G36" i="5"/>
  <c r="H35" i="5"/>
  <c r="G35" i="5"/>
  <c r="H34" i="5"/>
  <c r="G34" i="5"/>
  <c r="H33" i="5"/>
  <c r="G33" i="5"/>
  <c r="A32" i="5"/>
  <c r="H31" i="5"/>
  <c r="G31" i="5"/>
  <c r="H30" i="5"/>
  <c r="G30" i="5"/>
  <c r="H29" i="5"/>
  <c r="G29" i="5"/>
  <c r="H28" i="5"/>
  <c r="G28" i="5"/>
  <c r="A27" i="5"/>
  <c r="H26" i="5"/>
  <c r="G26" i="5"/>
  <c r="H25" i="5"/>
  <c r="G25" i="5"/>
  <c r="H24" i="5"/>
  <c r="G24" i="5"/>
  <c r="H23" i="5"/>
  <c r="G23" i="5"/>
  <c r="A22" i="5"/>
  <c r="H21" i="5"/>
  <c r="G21" i="5"/>
  <c r="H20" i="5"/>
  <c r="G20" i="5"/>
  <c r="H19" i="5"/>
  <c r="G19" i="5"/>
  <c r="H18" i="5"/>
  <c r="G18" i="5"/>
  <c r="H17" i="5"/>
  <c r="G17" i="5"/>
  <c r="A16" i="5"/>
  <c r="H15" i="5"/>
  <c r="G15" i="5"/>
  <c r="H14" i="5"/>
  <c r="G14" i="5"/>
  <c r="H13" i="5"/>
  <c r="G13" i="5"/>
  <c r="H12" i="5"/>
  <c r="G12" i="5"/>
  <c r="H11" i="5"/>
  <c r="G11" i="5"/>
  <c r="A10" i="5"/>
  <c r="H9" i="5"/>
  <c r="G9" i="5"/>
  <c r="H8" i="5"/>
  <c r="G8" i="5"/>
  <c r="H7" i="5"/>
  <c r="G7" i="5"/>
  <c r="H6" i="5"/>
  <c r="G6" i="5"/>
  <c r="A5" i="5"/>
  <c r="A2" i="5"/>
  <c r="D32" i="9" s="1"/>
  <c r="H44" i="4"/>
  <c r="G44" i="4"/>
  <c r="H43" i="4"/>
  <c r="G43" i="4"/>
  <c r="H42" i="4"/>
  <c r="G42" i="4"/>
  <c r="H41" i="4"/>
  <c r="G41" i="4"/>
  <c r="A40" i="4"/>
  <c r="H39" i="4"/>
  <c r="G39" i="4"/>
  <c r="H38" i="4"/>
  <c r="G38" i="4"/>
  <c r="H37" i="4"/>
  <c r="G37" i="4"/>
  <c r="H36" i="4"/>
  <c r="G36" i="4"/>
  <c r="H35" i="4"/>
  <c r="G35" i="4"/>
  <c r="A34" i="4"/>
  <c r="H33" i="4"/>
  <c r="G33" i="4"/>
  <c r="A32" i="4"/>
  <c r="H31" i="4"/>
  <c r="G31" i="4"/>
  <c r="H30" i="4"/>
  <c r="G30" i="4"/>
  <c r="H29" i="4"/>
  <c r="G29" i="4"/>
  <c r="H28" i="4"/>
  <c r="G28" i="4"/>
  <c r="A27" i="4"/>
  <c r="H26" i="4"/>
  <c r="G26" i="4"/>
  <c r="H25" i="4"/>
  <c r="G25" i="4"/>
  <c r="H24" i="4"/>
  <c r="G24" i="4"/>
  <c r="H23" i="4"/>
  <c r="G23" i="4"/>
  <c r="H22" i="4"/>
  <c r="G22" i="4"/>
  <c r="A21" i="4"/>
  <c r="H20" i="4"/>
  <c r="G20" i="4"/>
  <c r="H19" i="4"/>
  <c r="G19" i="4"/>
  <c r="H18" i="4"/>
  <c r="G18" i="4"/>
  <c r="H17" i="4"/>
  <c r="G17" i="4"/>
  <c r="A16" i="4"/>
  <c r="H15" i="4"/>
  <c r="G15" i="4"/>
  <c r="H14" i="4"/>
  <c r="G14" i="4"/>
  <c r="H13" i="4"/>
  <c r="G13" i="4"/>
  <c r="H12" i="4"/>
  <c r="G12" i="4"/>
  <c r="A11" i="4"/>
  <c r="H10" i="4"/>
  <c r="G10" i="4"/>
  <c r="H9" i="4"/>
  <c r="G9" i="4"/>
  <c r="H8" i="4"/>
  <c r="G8" i="4"/>
  <c r="H7" i="4"/>
  <c r="G7" i="4"/>
  <c r="H6" i="4"/>
  <c r="G6" i="4"/>
  <c r="A5" i="4"/>
  <c r="A2" i="4"/>
  <c r="H50" i="3"/>
  <c r="G50" i="3"/>
  <c r="H49" i="3"/>
  <c r="G49" i="3"/>
  <c r="H48" i="3"/>
  <c r="G48" i="3"/>
  <c r="H47" i="3"/>
  <c r="G47" i="3"/>
  <c r="A46" i="3"/>
  <c r="H45" i="3"/>
  <c r="G45" i="3"/>
  <c r="H44" i="3"/>
  <c r="G44" i="3"/>
  <c r="H43" i="3"/>
  <c r="G43" i="3"/>
  <c r="H42" i="3"/>
  <c r="G42" i="3"/>
  <c r="A41" i="3"/>
  <c r="H40" i="3"/>
  <c r="G40" i="3"/>
  <c r="H39" i="3"/>
  <c r="G39" i="3"/>
  <c r="H38" i="3"/>
  <c r="G38" i="3"/>
  <c r="H37" i="3"/>
  <c r="G37" i="3"/>
  <c r="A36" i="3"/>
  <c r="H35" i="3"/>
  <c r="G35" i="3"/>
  <c r="H34" i="3"/>
  <c r="G34" i="3"/>
  <c r="H33" i="3"/>
  <c r="G33" i="3"/>
  <c r="H32" i="3"/>
  <c r="G32" i="3"/>
  <c r="H31" i="3"/>
  <c r="G31" i="3"/>
  <c r="A30" i="3"/>
  <c r="H29" i="3"/>
  <c r="G29" i="3"/>
  <c r="H28" i="3"/>
  <c r="G28" i="3"/>
  <c r="H27" i="3"/>
  <c r="G27" i="3"/>
  <c r="H26" i="3"/>
  <c r="G26" i="3"/>
  <c r="A25" i="3"/>
  <c r="H24" i="3"/>
  <c r="G24" i="3"/>
  <c r="H23" i="3"/>
  <c r="G23" i="3"/>
  <c r="H22" i="3"/>
  <c r="G22" i="3"/>
  <c r="H21" i="3"/>
  <c r="G21" i="3"/>
  <c r="H20" i="3"/>
  <c r="G20" i="3"/>
  <c r="A19" i="3"/>
  <c r="H18" i="3"/>
  <c r="G18" i="3"/>
  <c r="H17" i="3"/>
  <c r="G17" i="3"/>
  <c r="H16" i="3"/>
  <c r="G16" i="3"/>
  <c r="H15" i="3"/>
  <c r="G15" i="3"/>
  <c r="H14" i="3"/>
  <c r="G14" i="3"/>
  <c r="H13" i="3"/>
  <c r="G13" i="3"/>
  <c r="A12" i="3"/>
  <c r="H11" i="3"/>
  <c r="G11" i="3"/>
  <c r="H10" i="3"/>
  <c r="G10" i="3"/>
  <c r="H9" i="3"/>
  <c r="G9" i="3"/>
  <c r="H8" i="3"/>
  <c r="G8" i="3"/>
  <c r="H7" i="3"/>
  <c r="G7" i="3"/>
  <c r="H6" i="3"/>
  <c r="G6" i="3"/>
  <c r="A5" i="3"/>
  <c r="A2" i="3"/>
  <c r="H64" i="2"/>
  <c r="G64" i="2"/>
  <c r="H63" i="2"/>
  <c r="G63" i="2"/>
  <c r="H62" i="2"/>
  <c r="G62" i="2"/>
  <c r="H61" i="2"/>
  <c r="G61" i="2"/>
  <c r="H60" i="2"/>
  <c r="G60" i="2"/>
  <c r="H59" i="2"/>
  <c r="G59" i="2"/>
  <c r="A58" i="2"/>
  <c r="H57" i="2"/>
  <c r="G57" i="2"/>
  <c r="H56" i="2"/>
  <c r="G56" i="2"/>
  <c r="H55" i="2"/>
  <c r="G55" i="2"/>
  <c r="H54" i="2"/>
  <c r="G54" i="2"/>
  <c r="A53" i="2"/>
  <c r="H52" i="2"/>
  <c r="G52" i="2"/>
  <c r="H51" i="2"/>
  <c r="G51" i="2"/>
  <c r="H50" i="2"/>
  <c r="G50" i="2"/>
  <c r="H49" i="2"/>
  <c r="G49" i="2"/>
  <c r="H48" i="2"/>
  <c r="G48" i="2"/>
  <c r="A47" i="2"/>
  <c r="H46" i="2"/>
  <c r="G46" i="2"/>
  <c r="H45" i="2"/>
  <c r="G45" i="2"/>
  <c r="H44" i="2"/>
  <c r="G44" i="2"/>
  <c r="H43" i="2"/>
  <c r="G43" i="2"/>
  <c r="H42" i="2"/>
  <c r="G42" i="2"/>
  <c r="H41" i="2"/>
  <c r="G41" i="2"/>
  <c r="A40" i="2"/>
  <c r="H39" i="2"/>
  <c r="G39" i="2"/>
  <c r="H38" i="2"/>
  <c r="G38" i="2"/>
  <c r="H37" i="2"/>
  <c r="G37" i="2"/>
  <c r="H36" i="2"/>
  <c r="G36" i="2"/>
  <c r="H35" i="2"/>
  <c r="G35" i="2"/>
  <c r="H34" i="2"/>
  <c r="G34" i="2"/>
  <c r="H33" i="2"/>
  <c r="G33" i="2"/>
  <c r="H32" i="2"/>
  <c r="G32" i="2"/>
  <c r="A31" i="2"/>
  <c r="H30" i="2"/>
  <c r="G30" i="2"/>
  <c r="H29" i="2"/>
  <c r="G29" i="2"/>
  <c r="H28" i="2"/>
  <c r="G28" i="2"/>
  <c r="H27" i="2"/>
  <c r="G27" i="2"/>
  <c r="H26" i="2"/>
  <c r="G26" i="2"/>
  <c r="H25" i="2"/>
  <c r="G25" i="2"/>
  <c r="A24" i="2"/>
  <c r="H23" i="2"/>
  <c r="G23" i="2"/>
  <c r="H22" i="2"/>
  <c r="G22" i="2"/>
  <c r="H21" i="2"/>
  <c r="G21" i="2"/>
  <c r="H20" i="2"/>
  <c r="G20" i="2"/>
  <c r="H19" i="2"/>
  <c r="G19" i="2"/>
  <c r="H18" i="2"/>
  <c r="G18" i="2"/>
  <c r="A17" i="2"/>
  <c r="H16" i="2"/>
  <c r="G16" i="2"/>
  <c r="H15" i="2"/>
  <c r="G15" i="2"/>
  <c r="H14" i="2"/>
  <c r="G14" i="2"/>
  <c r="H13" i="2"/>
  <c r="G13" i="2"/>
  <c r="H12" i="2"/>
  <c r="G12" i="2"/>
  <c r="H11" i="2"/>
  <c r="G11" i="2"/>
  <c r="H10" i="2"/>
  <c r="G10" i="2"/>
  <c r="H9" i="2"/>
  <c r="G9" i="2"/>
  <c r="H8" i="2"/>
  <c r="G8" i="2"/>
  <c r="H7" i="2"/>
  <c r="H6" i="2"/>
  <c r="A5" i="2"/>
  <c r="A2" i="2"/>
  <c r="A70" i="1"/>
  <c r="I69" i="1"/>
  <c r="H69" i="1"/>
  <c r="G69" i="1"/>
  <c r="I68" i="1"/>
  <c r="H68" i="1"/>
  <c r="G68" i="1"/>
  <c r="I67" i="1"/>
  <c r="H67" i="1"/>
  <c r="G67" i="1"/>
  <c r="I66" i="1"/>
  <c r="H66" i="1"/>
  <c r="G66" i="1"/>
  <c r="A65" i="1"/>
  <c r="I64" i="1"/>
  <c r="H64" i="1"/>
  <c r="G64" i="1"/>
  <c r="I63" i="1"/>
  <c r="H63" i="1"/>
  <c r="G63" i="1"/>
  <c r="A62" i="1"/>
  <c r="I61" i="1"/>
  <c r="H61" i="1"/>
  <c r="G61" i="1"/>
  <c r="I60" i="1"/>
  <c r="H60" i="1"/>
  <c r="G60" i="1"/>
  <c r="I59" i="1"/>
  <c r="H59" i="1"/>
  <c r="G59" i="1"/>
  <c r="I58" i="1"/>
  <c r="H58" i="1"/>
  <c r="G58" i="1"/>
  <c r="I57" i="1"/>
  <c r="H57" i="1"/>
  <c r="G57" i="1"/>
  <c r="I56" i="1"/>
  <c r="H56" i="1"/>
  <c r="G56" i="1"/>
  <c r="A55" i="1"/>
  <c r="I54" i="1"/>
  <c r="H54" i="1"/>
  <c r="G54" i="1"/>
  <c r="I53" i="1"/>
  <c r="H53" i="1"/>
  <c r="G53" i="1"/>
  <c r="I52" i="1"/>
  <c r="H52" i="1"/>
  <c r="G52" i="1"/>
  <c r="I51" i="1"/>
  <c r="H51" i="1"/>
  <c r="G51" i="1"/>
  <c r="A50" i="1"/>
  <c r="I49" i="1"/>
  <c r="H49" i="1"/>
  <c r="G49" i="1"/>
  <c r="I48" i="1"/>
  <c r="H48" i="1"/>
  <c r="G48" i="1"/>
  <c r="I47" i="1"/>
  <c r="H47" i="1"/>
  <c r="G47" i="1"/>
  <c r="I46" i="1"/>
  <c r="H46" i="1"/>
  <c r="G46" i="1"/>
  <c r="A45" i="1"/>
  <c r="I44" i="1"/>
  <c r="H44" i="1"/>
  <c r="G44" i="1"/>
  <c r="I43" i="1"/>
  <c r="H43" i="1"/>
  <c r="G43" i="1"/>
  <c r="I42" i="1"/>
  <c r="H42" i="1"/>
  <c r="G42" i="1"/>
  <c r="I41" i="1"/>
  <c r="H41" i="1"/>
  <c r="G41" i="1"/>
  <c r="I40" i="1"/>
  <c r="H40" i="1"/>
  <c r="G40" i="1"/>
  <c r="I39" i="1"/>
  <c r="H39" i="1"/>
  <c r="G39" i="1"/>
  <c r="I38" i="1"/>
  <c r="H38" i="1"/>
  <c r="G38" i="1"/>
  <c r="I37" i="1"/>
  <c r="H37" i="1"/>
  <c r="G37" i="1"/>
  <c r="A36" i="1"/>
  <c r="A35" i="1"/>
  <c r="I34" i="1"/>
  <c r="H34" i="1"/>
  <c r="G34" i="1"/>
  <c r="I33" i="1"/>
  <c r="H33" i="1"/>
  <c r="G33" i="1"/>
  <c r="I32" i="1"/>
  <c r="H32" i="1"/>
  <c r="G32" i="1"/>
  <c r="I31" i="1"/>
  <c r="H31" i="1"/>
  <c r="G31" i="1"/>
  <c r="I30" i="1"/>
  <c r="H30" i="1"/>
  <c r="G30" i="1"/>
  <c r="I29" i="1"/>
  <c r="H29" i="1"/>
  <c r="G29" i="1"/>
  <c r="I28" i="1"/>
  <c r="H28" i="1"/>
  <c r="G28" i="1"/>
  <c r="I27" i="1"/>
  <c r="H27" i="1"/>
  <c r="G27" i="1"/>
  <c r="A26" i="1"/>
  <c r="I25" i="1"/>
  <c r="H25" i="1"/>
  <c r="G25" i="1"/>
  <c r="I24" i="1"/>
  <c r="H24" i="1"/>
  <c r="G24" i="1"/>
  <c r="I23" i="1"/>
  <c r="H23" i="1"/>
  <c r="G23" i="1"/>
  <c r="I22" i="1"/>
  <c r="H22" i="1"/>
  <c r="G22" i="1"/>
  <c r="A21" i="1"/>
  <c r="I20" i="1"/>
  <c r="H20" i="1"/>
  <c r="G20" i="1"/>
  <c r="I19" i="1"/>
  <c r="H19" i="1"/>
  <c r="G19" i="1"/>
  <c r="I18" i="1"/>
  <c r="H18" i="1"/>
  <c r="G18" i="1"/>
  <c r="I17" i="1"/>
  <c r="H17" i="1"/>
  <c r="G17" i="1"/>
  <c r="A16" i="1"/>
  <c r="I15" i="1"/>
  <c r="H15" i="1"/>
  <c r="G15" i="1"/>
  <c r="I14" i="1"/>
  <c r="H14" i="1"/>
  <c r="G14" i="1"/>
  <c r="I13" i="1"/>
  <c r="H13" i="1"/>
  <c r="G13" i="1"/>
  <c r="I12" i="1"/>
  <c r="H12" i="1"/>
  <c r="G12" i="1"/>
  <c r="I11" i="1"/>
  <c r="H11" i="1"/>
  <c r="G11" i="1"/>
  <c r="I10" i="1"/>
  <c r="H10" i="1"/>
  <c r="G10" i="1"/>
  <c r="I9" i="1"/>
  <c r="H9" i="1"/>
  <c r="G9" i="1"/>
  <c r="I8" i="1"/>
  <c r="H8" i="1"/>
  <c r="J5" i="1"/>
  <c r="I5" i="1"/>
  <c r="G5" i="1"/>
  <c r="A2" i="1"/>
  <c r="D29" i="9" l="1"/>
  <c r="E5" i="1"/>
  <c r="K5" i="1" s="1"/>
  <c r="D30" i="9"/>
  <c r="G30" i="9" s="1"/>
  <c r="E36" i="9"/>
  <c r="G33" i="9"/>
  <c r="D31" i="9"/>
  <c r="G31" i="9" s="1"/>
  <c r="D35" i="9"/>
  <c r="G35" i="9" s="1"/>
  <c r="G32" i="9"/>
  <c r="G34" i="9"/>
  <c r="G29" i="9"/>
  <c r="D36" i="9" l="1"/>
  <c r="G36" i="9" s="1"/>
</calcChain>
</file>

<file path=xl/sharedStrings.xml><?xml version="1.0" encoding="utf-8"?>
<sst xmlns="http://schemas.openxmlformats.org/spreadsheetml/2006/main" count="1541" uniqueCount="980">
  <si>
    <t>LEVART  ·  KẾ HOẠCH TRIỂN KHAI 12 THÁNG  —  52 TUẦN  ·  5 GIAI ĐOẠN  ·  7 CHU KỲ</t>
  </si>
  <si>
    <t>⚙  Ô VÀNG bên phải là NGÀY BẮT ĐẦU TUẦN 1 (thứ Hai).
Sửa một ô này → toàn bộ ngày ở mọi trang tính tự dịch theo.</t>
  </si>
  <si>
    <t>TỔNG ĐẦU MỤC</t>
  </si>
  <si>
    <t>ĐÃ XONG</t>
  </si>
  <si>
    <t>ĐANG LÀM</t>
  </si>
  <si>
    <t>CHƯA BẮT ĐẦU</t>
  </si>
  <si>
    <t>% HOÀN THÀNH</t>
  </si>
  <si>
    <t>STT</t>
  </si>
  <si>
    <t>Giai đoạn / Phase</t>
  </si>
  <si>
    <t>Đầu mục / Task</t>
  </si>
  <si>
    <t>Phân việc chi tiết / Subtask</t>
  </si>
  <si>
    <t>Mục đích / Purpose</t>
  </si>
  <si>
    <t>Ghế / PIC</t>
  </si>
  <si>
    <t>Ngày bắt đầu
Start Date</t>
  </si>
  <si>
    <t>Ngày kết thúc
End Date</t>
  </si>
  <si>
    <t>Trạng thái / Status</t>
  </si>
  <si>
    <t>Tiêu chí hoàn thành / Output</t>
  </si>
  <si>
    <t>Ghi chú / Note</t>
  </si>
  <si>
    <t>QUÝ 1 — GIAI ĐOẠN 1:
THẤU CẢM</t>
  </si>
  <si>
    <t>1.1  Khởi động dự án (M1) — chốt cách làm việc</t>
  </si>
  <si>
    <t>[Tuần 01] Tầm nhìn v0 · Phân loại du lịch (nháp) · Xác định vấn đề (giả thuyết) · Tập khách hàng target (dự kiến) · Vai trò từng thành viên · Kịch bản phỏng vấn v0 · Danh sách phỏng vấn · MVP — sơ đồ luồng sử dụng app (as-is) · Lịch họp tuần, thư mục docs/, bãi đỗ ý tưởng · Danh sách 12 người thử nghiệm kín · Biên bản M1</t>
  </si>
  <si>
    <t>Ra khỏi tuần với 9 quyết định, ghế có tên, lịch họp đã gửi, và đủ vật liệu để phỏng vấn từ tuần 2.</t>
  </si>
  <si>
    <t>ALL (ĐP chủ trì)</t>
  </si>
  <si>
    <t>Biên bản M1 có 9 quyết định · bảng ghế + bảng giờ · tầm nhìn v0 · kịch bản phỏng vấn v0 · danh sách 30–40 tên · sơ đồ luồng as-is · thư mục docs/ có 5 mẫu</t>
  </si>
  <si>
    <t>1.2  Phỏng vấn thử · Số liệu thị trường · Đối thủ</t>
  </si>
  <si>
    <t>[Tuần 02] 2 phỏng vấn thử · Bảng so sánh 6 app đối thủ · Research số liệu du lịch · Chọn tỉnh mục tiêu → ADR · Danh sách 10 đối tác tỉnh mục tiêu · Khởi tạo bảng số tuần</t>
  </si>
  <si>
    <t>Kịch bản chạy được trên người thật; thị trường có số có nguồn; đối thủ có ảnh chụp; tỉnh mục tiêu được chốt.</t>
  </si>
  <si>
    <t>TT · TN · ĐP · VH</t>
  </si>
  <si>
    <t>Kịch bản v1 · bảng so sánh 6 app có ảnh · tệp số liệu có link · ADR tỉnh mục tiêu · bảng 10 đối tác</t>
  </si>
  <si>
    <t>1.3  Phỏng vấn đợt 1 · Ký thoả thuận đồng sáng lập (M3)</t>
  </si>
  <si>
    <t>[Tuần 03] ≥ 8 phỏng vấn khách hàng · Ký thoả thuận đồng sáng lập · Mở bảng ghi giờ · Họp Level 10 lần đầu · Gọi 2 đối tác đầu tiên · Marketing trên các nền tảng — 1 trang</t>
  </si>
  <si>
    <t>≥ 8 phỏng vấn có tệp; thoả thuận đồng sáng lập ký; họp tuần theo cấu trúc Level 10 lần đầu.</t>
  </si>
  <si>
    <t>ALL (TT điều phối)</t>
  </si>
  <si>
    <t>8 tệp phỏng vấn · thoả thuận đã ký (PDF) · bảng ghi giờ · biên bản Level 10 đầu tiên · ghi chú 2 cuộc gọi đối tác · 1 trang marketing nền tảng</t>
  </si>
  <si>
    <t>1.4  Phỏng vấn ≥ 16 · Nhãn hiệu · Affiliate</t>
  </si>
  <si>
    <t>[Tuần 04] ≥ 8 phỏng vấn (cộng dồn 16) · Bảng đếm nỗi đau · Tra nhãn hiệu «Levart» · Mua tên miền · 5 câu hỏi luật + đặt hẹn · Gọi 3 đối tác còn lại · Bảng 3 chương trình affiliate · Gom phản hồi về app</t>
  </si>
  <si>
    <t>Cộng dồn 16 phỏng vấn; biết tên Levart dùng được không; biết affiliate mở cho ai; sẵn câu hỏi cho buổi luật.</t>
  </si>
  <si>
    <t>ALL · ĐP · VH</t>
  </si>
  <si>
    <t>16 tệp phỏng vấn · bảng đếm nỗi đau · kết quả tra nhãn hiệu (có ảnh) · tên miền đã mua · 5 câu hỏi luật + lịch hẹn · bảng 3 chương trình affiliate</t>
  </si>
  <si>
    <t>1.5  Phỏng vấn ≥ 24 · Buổi hỏi luật</t>
  </si>
  <si>
    <t>[Tuần 05] ≥ 8 phỏng vấn (cộng dồn 24) · Phân tích chéo sơ bộ · Buổi 45' với người hiểu luật · Danh mục pháp lý v1 · Tổng hợp 5 cuộc gọi đối tác · Phân loại du lịch v1</t>
  </si>
  <si>
    <t>Cộng dồn 24 phỏng vấn; có câu trả lời thật cho 5 câu luật; biết ai đau nhất; biết đối tác nào sẵn lòng thử.</t>
  </si>
  <si>
    <t>ALL · ĐP · VH · TN</t>
  </si>
  <si>
    <t>24 tệp phỏng vấn · biên bản buổi luật · danh mục pháp lý v1 · bảng đối tác có thể có · phân loại du lịch v1</t>
  </si>
  <si>
    <t>1.6  Phỏng vấn ≥ 30 · Rủi ro · Tình huống ngoại lệ</t>
  </si>
  <si>
    <t>[Tuần 06] ≥ 6 phỏng vấn (cộng dồn 30) · Pre-mortem + sổ rủi ro v1 · Bảng tình huống ngoại lệ của tỉnh · Sơ đồ luồng to-be nháp · Chuẩn bị buổi tổng hợp T7</t>
  </si>
  <si>
    <t>Đủ 30 phỏng vấn; sổ rủi ro v1 có người theo dõi; bảng tình huống của tỉnh; luồng to-be nháp.</t>
  </si>
  <si>
    <t>ALL · ĐP · VH · SP</t>
  </si>
  <si>
    <t>30 tệp phỏng vấn · sổ rủi ro v1 (≥ 12 dòng, top 5 có người) · bảng khẩn cấp tỉnh mục tiêu · sơ đồ luồng to-be nháp</t>
  </si>
  <si>
    <t>1.7  NGUỘI · Kết chu kỳ 1 (M7) — phân tích 30 phỏng vấn</t>
  </si>
  <si>
    <t>[Tuần 07] Buổi tổng hợp 3 giờ · Kết 3 cược chu kỳ 1 · Gạch giả thuyết G1–G8 · Bù giờ</t>
  </si>
  <si>
    <t>Biến 30 tệp thành persona v1, top 3 nỗi đau có số, và câu trả lời bằng số cho «khách có thật sự cần không».</t>
  </si>
  <si>
    <t>ALL (TT chủ trì)</t>
  </si>
  <si>
    <t>persona v1 · top3-noi-dau.md có số + ảnh bảng · 3 thẻ cược C1 đã điền kết quả · biên bản kết C1 · bảng G1–G8 cập nhật</t>
  </si>
  <si>
    <t>1.8  NGUỘI · Business.md 0.2 · Kịch bản lần 2 · Bàn cược C2</t>
  </si>
  <si>
    <t>[Tuần 08] Business.md 0.2 · Kịch bản phỏng vấn lần 2 (phỏng vấn giải pháp, 20') · Bàn cược chu kỳ 2 (T9–T14) · Chính sách quyền riêng tư (nháp) · Danh mục kỹ thuật tối thiểu cho cohort · Trang tĩnh (tên miền)</t>
  </si>
  <si>
    <t>Tài liệu nền phản ánh bằng chứng; sẵn kịch bản lần 2; ba cược cho chu kỳ 2; chính sách riêng tư và trang tĩnh sẵn trước khi người ngoài dùng app.</t>
  </si>
  <si>
    <t>TN · TT · ĐP · SP</t>
  </si>
  <si>
    <t>Business.md 0.2 · kịch bản phỏng vấn lần 2 + 3 thẻ giá · 3 thẻ cược C2 · chính sách riêng tư nháp · trang tĩnh</t>
  </si>
  <si>
    <t>1.9  Thử nghiệm kín 12 người · Phỏng vấn lần 2</t>
  </si>
  <si>
    <t>[Tuần 09] Thử nghiệm kín 12 người · Phễu đo hoạt động · 5 phỏng vấn lần 2 · 3 nội dung ngắn đầu tiên · Ưu đãi đối tác — 1 trang · Công khai trang tĩnh</t>
  </si>
  <si>
    <t>Đồng hồ 14 ngày của Google Play bắt đầu; phễu có số thật đầu tiên; 5 phỏng vấn lần 2; 3 nội dung đầu.</t>
  </si>
  <si>
    <t>SP · TT · VH · ĐP</t>
  </si>
  <si>
    <t>12 người đã cài (có ngày) · bảng số có cột kích hoạt · 5 tệp phỏng vấn lần 2 · 3 link nội dung · 3 đối tác xác nhận ưu đãi · trang tĩnh công khai</t>
  </si>
  <si>
    <t>1.10  Cohort 30 người · Phân tích lần 2 · Slogan</t>
  </si>
  <si>
    <t>[Tuần 10] Mời cohort lên 30 người · 5 phỏng vấn lần 2 còn lại + phân tích · Thử 3 slogan với 20 người ngoài nhóm · Chạy ưu đãi đối tác · Theo dõi lỗi cohort · 3 nội dung tiếp theo</t>
  </si>
  <si>
    <t>30 người dùng thật có nguồn; kết quả 10 phỏng vấn lần 2; slogan v1 chọn bằng người ngoài.</t>
  </si>
  <si>
    <t>TT · TN · VH · SP</t>
  </si>
  <si>
    <t>Bảng cohort 30 dòng có nguồn · phong-van-lan-2-ket-qua.md · ADR slogan v1 · bảng theo dõi ưu đãi · bảng lỗi</t>
  </si>
  <si>
    <t>1.11  Đo kích hoạt &amp; quay lại · Dòng tiền v0</t>
  </si>
  <si>
    <t>[Tuần 11] Bảng số T11 · Dòng tiền v0 · 4 nội dung còn lại + bảng nội dung · Mở rộng bảng đối tác có thể có · Chuẩn bị khảo sát «rất thất vọng»</t>
  </si>
  <si>
    <t>Bảng số có 4 chỉ số thật; biết chi phí cố định 12 tháng; 10 nội dung có số; sẵn khảo sát.</t>
  </si>
  <si>
    <t>ĐP · TT · VH · SP</t>
  </si>
  <si>
    <t>Bảng số T11 có 4 chỉ số · dòng tiền v0 + đoạn giả định · bảng 10 nội dung có số · bảng đối tác có thể có ≥ 12 dòng · form khảo sát + danh sách người nhận</t>
  </si>
  <si>
    <t>1.12  CỔNG QUÝ 1 (M12) — tiếp / xoay / dừng</t>
  </si>
  <si>
    <t>[Tuần 12] Khảo sát Sean Ellis · Họp cổng 2 giờ · Điều kiện phát hành production · Cập nhật giai đoạn trong Business.md</t>
  </si>
  <si>
    <t>Quyết định tiếp / xoay / dừng bằng bảng tiêu chí đã viết trước; chốt Rocks Q2; đủ điều kiện xin phát hành.</t>
  </si>
  <si>
    <t>ALL (TN quyết cuối)</t>
  </si>
  <si>
    <t>Kết quả khảo sát «rất thất vọng» + n · biên bản cổng Q1 · ADR tiếp/xoay/dừng · 3 Rocks Q2 · đơn xin quyền phát hành (hoặc danh sách còn thiếu có hạn)</t>
  </si>
  <si>
    <t>QUÝ 2 — GIAI ĐOẠN 2:
BÁM DÍNH</t>
  </si>
  <si>
    <t>2.1  Phỏng vấn người bỏ · Phân loại v2 · Brief con dấu</t>
  </si>
  <si>
    <t>[Tuần 13] 5 phỏng vấn người bỏ (churn) · Phân loại du lịch v2 · Brief tài sản đặc trưng (con dấu 34 tỉnh) · Cập nhật danh mục pháp lý + nộp nhãn hiệu · Thu sự cố thật của cohort</t>
  </si>
  <si>
    <t>Biết vì sao người ta bỏ; chốt nhãn phân loại; khởi động tài sản hình ảnh; nộp nhãn hiệu.</t>
  </si>
  <si>
    <t>5 tệp phỏng vấn churn + churn-C2.md · phân loại v2 + ADR · brief tài sản đặc trưng + người nhận · đơn nhãn hiệu có số nhận · ≥ 5 sự cố thật</t>
  </si>
  <si>
    <t>2.2  Kết chu kỳ 2</t>
  </si>
  <si>
    <t>[Tuần 14] Kết 3 cược C2 · Danh mục ≤ 3 tính năng cho C3 · Dòng tiền v1 · Lịch tuần đệm T15–T16</t>
  </si>
  <si>
    <t>Kết 3 cược bằng số; chọn ≤ 3 tính năng đáng xây và vì sao; chi phí/người v0.</t>
  </si>
  <si>
    <t>ALL · SP · TT · ĐP</t>
  </si>
  <si>
    <t>Biên bản kết C2 · danh mục ≤ 3 tính năng C3 có cột «vì sao» · dòng tiền v1 · lịch tuần đệm</t>
  </si>
  <si>
    <t>2.3  NGUỘI · Business.md 0.3 · Chọn 2 kênh (Bullseye)</t>
  </si>
  <si>
    <t>[Tuần 15] Business.md 0.3 · Bullseye — chọn 2 kênh · Kiểm 3 việc bắt buộc + kế hoạch phát hành · Cập nhật so sánh đối thủ</t>
  </si>
  <si>
    <t>Tài liệu và quyết định kênh; kiểm điều kiện phát hành. (Trùng kỳ thi học kỳ 1 — tải nhẹ.)</t>
  </si>
  <si>
    <t>Business.md 0.3 · ADR chọn 2 kênh · kế hoạch phát hành 1 trang · ghi chú cập nhật đối thủ</t>
  </si>
  <si>
    <t>2.4  NGUỘI · Bàn cược C3 · Con dấu v1</t>
  </si>
  <si>
    <t>[Tuần 16] Bàn cược C3 (T17–T22) · Nhận thiết kế con dấu v1 · Kế hoạch chiến dịch trường 1 · Lịch trực lỗi Tết Dương</t>
  </si>
  <si>
    <t>Ba cược cho chu kỳ 3; bộ hình con dấu v1; kế hoạch chiến dịch trường.</t>
  </si>
  <si>
    <t>ALL · TN · TT · SP</t>
  </si>
  <si>
    <t>3 thẻ cược C3 · bộ hình con dấu v1 · kế hoạch chiến dịch trường 1 · lịch trực lỗi Tết Dương</t>
  </si>
  <si>
    <t>2.5  Phát hành production · ASO · Chiến dịch trường 1</t>
  </si>
  <si>
    <t>[Tuần 17] Phát hành production · Trang cửa hàng (ASO cơ bản) · Chiến dịch trường tuần 1 · Chuẩn bị đối tác mùa xuân · Thêm cột quay lại 30 ngày</t>
  </si>
  <si>
    <t>App công khai; trang cửa hàng mang con dấu; +30 người lạ.</t>
  </si>
  <si>
    <t>SP · TT · TN · VH · ĐP</t>
  </si>
  <si>
    <t>App công khai · trang cửa hàng cập nhật + ảnh chụp · bảng cohort +30 có nguồn · 3 đối tác xác nhận mùa xuân · số quay lại 30 ngày đầu tiên</t>
  </si>
  <si>
    <t>2.6  Mở rộng cohort · Nội dung 2 kênh · Xác minh hotline</t>
  </si>
  <si>
    <t>[Tuần 18] Nội dung 3 bài/tuần × 2 kênh · Tính năng 1 · Gọi thử từng số hotline · Chiến dịch trường tuần 2</t>
  </si>
  <si>
    <t>+30 người; số cài theo kênh; biết hotline nào thật; tính năng 1 ra mắt.</t>
  </si>
  <si>
    <t>TT · SP · VH</t>
  </si>
  <si>
    <t>Bảng nội dung tuần + K sơ bộ · tính năng 1 ra mắt có số đo · bảng hotline có cột «đã gọi ngày» · +60 người cộng dồn</t>
  </si>
  <si>
    <t>2.7  Dòng tiền v2 · Kinh tế đơn vị · Giá hộ chiếu in</t>
  </si>
  <si>
    <t>[Tuần 19] Dòng tiền v2 + kinh tế đơn vị · Giá hộ chiếu in · Tính năng 2 · Nội dung + chiến dịch tuần 3</t>
  </si>
  <si>
    <t>Biết chi phí mỗi người dùng/tháng, kênh CAC thấp nhất, và giá hộ chiếu in dự kiến.</t>
  </si>
  <si>
    <t>ĐP · TN · SP · TT</t>
  </si>
  <si>
    <t>Sheet dòng tiền v2 + 1 trang đọc kết quả · bảng giá vốn 3 nhà in + 3 thẻ giá · tính năng 2 ra mắt</t>
  </si>
  <si>
    <t>2.8  Chuẩn bị Tết · Khảo sát Sean Ellis đợt 2</t>
  </si>
  <si>
    <t>[Tuần 20] Nội dung Tết · Khảo sát Sean Ellis đợt 2 · Tính năng 3 hoặc sửa lỗi · Đối tác dịp Tết · Kế hoạch Tết cho nhóm</t>
  </si>
  <si>
    <t>Nội dung Tết lên lịch; khảo sát đợt 2; kế hoạch trực Tết.</t>
  </si>
  <si>
    <t>TT · ĐP · SP · VH</t>
  </si>
  <si>
    <t>Lịch đăng nội dung Tết + người đăng · kết quả khảo sát đợt 2 + so sánh đợt 1 · tính năng 3 · kế hoạch Tết cho nhóm</t>
  </si>
  <si>
    <t>2.9  TẾT (tuần đệm) — theo dõi số</t>
  </si>
  <si>
    <t>[Tuần 21] Gom số hằng ngày · Trực lỗi chặn · Đăng theo lịch · Nghỉ</t>
  </si>
  <si>
    <t>Giữ nhịp tối thiểu, không xếp cược nặng. Tết Nguyên đán 2027 (06/02).</t>
  </si>
  <si>
    <t>ĐP · SP · TT</t>
  </si>
  <si>
    <t>Sheet số hằng ngày · bảng lỗi · link nội dung Tết</t>
  </si>
  <si>
    <t>2.10  TẾT (tuần đệm) — nghỉ</t>
  </si>
  <si>
    <t>[Tuần 22] Tiếp tục gom số + trực lỗi</t>
  </si>
  <si>
    <t>Nghỉ Tết. Không họp hoặc họp 30'.</t>
  </si>
  <si>
    <t>ĐP · SP</t>
  </si>
  <si>
    <t>Ghi chú hành vi dịp Tết</t>
  </si>
  <si>
    <t>2.11  NGUỘI · Kết chu kỳ 3 · Phân tích Tết · Phỏng vấn ở lại/bỏ</t>
  </si>
  <si>
    <t>[Tuần 23] Kết chu kỳ 3 · Tính quay lại 30 ngày · Phân tích hành vi Tết · 5 + 5 phỏng vấn (ở lại / bỏ) · Business.md 0.4</t>
  </si>
  <si>
    <t>Kết C3; quay lại 30 ngày thật; biết điều gì giữ người.</t>
  </si>
  <si>
    <t>ALL · ĐP · TT · TN</t>
  </si>
  <si>
    <t>Biên bản kết C3 · bảng quay lại 30 ngày (tách theo kênh và quen/lạ) · 5 dòng học được từ Tết · 10 tệp phỏng vấn + dieu-giu-nguoi.md · Business.md 0.4</t>
  </si>
  <si>
    <t>2.12  CỔNG QUÝ 2 · ADR pháp nhân · Bàn cược C4</t>
  </si>
  <si>
    <t>[Tuần 24] Họp cổng 2 giờ · ADR pháp nhân · Chốt Rocks Q3 · Bàn cược C4 (T25–T30)</t>
  </si>
  <si>
    <t>Qua cổng hay không; quyết định pháp nhân; Rocks Q3; ba cược C4.</t>
  </si>
  <si>
    <t>ALL (TN · ĐP quyết cuối)</t>
  </si>
  <si>
    <t>Biên bản cổng Q2 + ADR · ADR pháp nhân có chữ ký · 3 Rocks Q3 · 3 thẻ cược C4</t>
  </si>
  <si>
    <t>QUÝ 3 — GIAI ĐOẠN 3:
LAN TRUYỀN &amp;
CHUẨN BỊ DOANH THU</t>
  </si>
  <si>
    <t>3.1  Đặt trước hộ chiếu in · Hồ sơ DN · Mời chuyến đi chung</t>
  </si>
  <si>
    <t>[Tuần 25] Trang đặt trước hộ chiếu in · Hồ sơ doanh nghiệp · Mời chuyến đi chung thủ công · Cơ chế chia sẻ con dấu / mời bạn</t>
  </si>
  <si>
    <t>Trang đặt trước sống; hồ sơ DN đủ; nhóm đi chung đủ người; cơ chế mời có.</t>
  </si>
  <si>
    <t>TT · TN · ĐP · VH · SP</t>
  </si>
  <si>
    <t>Trang đặt trước live + bảng số theo ngày · bộ hồ sơ DN đã rà · 6–8 người xác nhận đi chung + ngày chốt · cơ chế chia sẻ con dấu ra mắt</t>
  </si>
  <si>
    <t>3.2  Nộp hồ sơ DN · Chọn kế toán · 10 creator</t>
  </si>
  <si>
    <t>[Tuần 26] Nộp hồ sơ doanh nghiệp · 3 báo giá kế toán dịch vụ · Chuẩn bị affiliate đứng tên DN · Đo hệ số mời K · Danh sách 10 creator</t>
  </si>
  <si>
    <t>Hồ sơ nộp; kế toán chọn; K sơ bộ; 10 creator có liên hệ.</t>
  </si>
  <si>
    <t>ĐP · VH · TT · TN</t>
  </si>
  <si>
    <t>Giấy chứng nhận ĐKDN hoặc trạng thái có ngày · bảng 3 báo giá kế toán + quyết định · hồ sơ affiliate sẵn · cột K trong bảng số · danh sách 10 creator (5 đã nhắn)</t>
  </si>
  <si>
    <t>3.3  Chuyến đi chung thủ công #1 · Kế toán vào việc</t>
  </si>
  <si>
    <t>[Tuần 27] Quan sát chuyến đi chung · Kế toán vào việc · 5 creator nhận sản phẩm và đăng · Đặt trước tuần 3 · Nội dung kênh thắng</t>
  </si>
  <si>
    <t>Biết điều kiện tin cậy tối thiểu; kế toán chạy; 5 creator đăng bài.</t>
  </si>
  <si>
    <t>VH · ĐP · TT · TN</t>
  </si>
  <si>
    <t>Tệp ghi chép chuyến đi + 5 phỏng vấn sau chuyến · hợp đồng kế toán + lịch làm việc · 5 bài creator có link · bảng số đặt trước tuần 3</t>
  </si>
  <si>
    <t>3.4  Hồ sơ mạng xã hội · Bật affiliate · Xác thực SĐT</t>
  </si>
  <si>
    <t>[Tuần 28] Hồ sơ mạng xã hội · Chính sách xác thực số điện thoại · Bật link affiliate · Creator tuần 2 · đặt trước tuần 4</t>
  </si>
  <si>
    <t>Hồ sơ mạng xã hội ở trạng thái rõ ràng; affiliate chạy hợp pháp; chính sách xác thực công bố.</t>
  </si>
  <si>
    <t>ĐP · SP · VH · TT</t>
  </si>
  <si>
    <t>Biên nhận thông báo MXH hoặc kế hoạch giấy phép có hạn · điều khoản cập nhật + tính năng xác thực lên lịch · link affiliate sống + cột bấm/đặt</t>
  </si>
  <si>
    <t>3.5  Đo K · Doanh thu đầu tiên · Quyết định in lô 1</t>
  </si>
  <si>
    <t>[Tuần 29] Bảng số + dòng tiền v3 · Quyết định lô in 1 · Đối tác tỉnh 2 · Nội dung</t>
  </si>
  <si>
    <t>Dòng tiền có số thật; quyết định in hay hoãn; tỉnh 2 khởi động.</t>
  </si>
  <si>
    <t>ĐP · TN · VH · TT</t>
  </si>
  <si>
    <t>Sheet dòng tiền v3 (giả định thay bằng số thật) · ADR lô in 1 + hợp đồng in (hoặc lý do hoãn) · bảng 10 đối tác tỉnh 2 + 5 ghi chú cuộc gọi</t>
  </si>
  <si>
    <t>3.6  Kết chu kỳ 4 · Đặt in lô 1</t>
  </si>
  <si>
    <t>[Tuần 30] Đặt in lô 1 · Thử ưu đãi mời bạn · Kết 3 cược C4 · Sửa lỗi</t>
  </si>
  <si>
    <t>Kết 3 cược C4; lô 1 vào xưởng; thử ưu đãi mời bạn.</t>
  </si>
  <si>
    <t>TN · VH · TT · ALL · SP</t>
  </si>
  <si>
    <t>Đơn in lô 1 · thiết lập ưu đãi mời bạn + số nền · biên bản kết C4</t>
  </si>
  <si>
    <t>3.7  NGUỘI · Kết luận people connection · Business.md 0.5</t>
  </si>
  <si>
    <t>[Tuần 31] Kết luận people connection · Business.md 0.5 · Rà sổ rủi ro Q3 · Bù giờ</t>
  </si>
  <si>
    <t>Chốt hướng ghép nhóm đi chung; tài liệu cập nhật; rủi ro quý có tiền thật.</t>
  </si>
  <si>
    <t>ALL (VH trình) · TN · ĐP</t>
  </si>
  <si>
    <t>ADR ghép nhóm · Business.md 0.5 · sổ rủi ro Q3 cập nhật</t>
  </si>
  <si>
    <t>3.8  NGUỘI · Bàn cược C5 · Chuẩn bị giao hàng</t>
  </si>
  <si>
    <t>[Tuần 32] Bàn cược C5 (T33–T38) · Kế hoạch trường 2 · Chuẩn bị giao hàng</t>
  </si>
  <si>
    <t>Ba đến bốn cược C5; kế hoạch trường 2; danh sách đơn xác nhận.</t>
  </si>
  <si>
    <t>ALL · TT · VH</t>
  </si>
  <si>
    <t>3–4 thẻ cược C5 · kế hoạch trường 2 · danh sách đơn đã xác nhận (giá, cách trả, địa chỉ)</t>
  </si>
  <si>
    <t>3.9  Giao lô 1 · Kê khai thuế quý đầu · Rà Luật TMĐT</t>
  </si>
  <si>
    <t>[Tuần 33] Giao hộ chiếu in · Kê khai thuế kỳ đầu · Rà Luật Thương mại điện tử · Nội dung mở hộp</t>
  </si>
  <si>
    <t>Hàng đến tay khách; nghĩa vụ thuế kỳ đầu hoàn thành; biết nghĩa vụ TMĐT.</t>
  </si>
  <si>
    <t>VH · ĐP · TT</t>
  </si>
  <si>
    <t>Bảng đơn hoàn tất (ngày giao · phản hồi · ảnh) · tờ khai + biên nhận · ghi chú pháp lý TMĐT · nội dung mở hộp</t>
  </si>
  <si>
    <t>3.10  Mạng nguyên tử thứ 2</t>
  </si>
  <si>
    <t>[Tuần 34] Chiến dịch trường 2 · 3 đối tác tỉnh 2 lên app · Mời bạn trong app — đo K · Bảng số tách 2 mạng</t>
  </si>
  <si>
    <t>Chứng minh cách khởi động lặp lại được ở trường/tỉnh thứ hai.</t>
  </si>
  <si>
    <t>TT · VH · SP · ĐP</t>
  </si>
  <si>
    <t>Bảng tiến độ theo ngày trường 2 (30/60/100 người) · 3 đối tác tỉnh 2 hoạt động · cột K · bảng số tách 2 mạng</t>
  </si>
  <si>
    <t>3.11  Creator 10–20 · Kế hoạch hè · Hồ sơ cuộc thi</t>
  </si>
  <si>
    <t>[Tuần 35] Creator đợt 2 (10–20 người) · Kế hoạch mùa hè · Dòng tiền v4 · Hồ sơ cuộc thi (nháp)</t>
  </si>
  <si>
    <t>Mở rộng creator có hợp đồng; kế hoạch mùa cao điểm; biết lịch cuộc thi.</t>
  </si>
  <si>
    <t>TT · VH · ĐP · TN</t>
  </si>
  <si>
    <t>Hợp đồng creator mẫu + số người ký · kế hoạch hè 2 trang · dòng tiền v4 · bảng 3–5 cuộc thi + hồ sơ nháp</t>
  </si>
  <si>
    <t>3.12  CỔNG QUÝ 3</t>
  </si>
  <si>
    <t>[Tuần 36] Họp cổng 2 giờ · Cập nhật Phụ lục E · so sánh đối thủ</t>
  </si>
  <si>
    <t>Kiểm tiêu chí 3→4; dồn lực Q4 vào một kênh và một dòng thu.</t>
  </si>
  <si>
    <t>ALL</t>
  </si>
  <si>
    <t>Biên bản cổng Q3 · Rocks Q4 (một kênh, một dòng thu) · Phụ lục E cập nhật · so sánh đối thủ cập nhật</t>
  </si>
  <si>
    <t>QUÝ 4 — GIAI ĐOẠN 4:
DOANH THU</t>
  </si>
  <si>
    <t>4.1  Hài lòng người mua · Duy trì (kỳ thi)</t>
  </si>
  <si>
    <t>[Tuần 37] Khảo sát người mua · Duy trì nội dung · Bảng số</t>
  </si>
  <si>
    <t>Biết người trả tiền nghĩ gì; giữ nhịp tối thiểu trong kỳ thi.</t>
  </si>
  <si>
    <t>VH · TT · ĐP</t>
  </si>
  <si>
    <t>Kết quả khảo sát người mua · 5 ghi chú gọi người điểm thấp · bảng số</t>
  </si>
  <si>
    <t>4.2  Kết chu kỳ 5</t>
  </si>
  <si>
    <t>[Tuần 38] Kết cược C5 · Quyết định lô 2 · Sửa lỗi</t>
  </si>
  <si>
    <t>Kết 4 cược; quyết định lô in 2.</t>
  </si>
  <si>
    <t>ALL · TN · SP</t>
  </si>
  <si>
    <t>Biên bản kết C5 · ADR lô 2</t>
  </si>
  <si>
    <t>4.3  NGUỘI · Business.md 0.6 · Rà pháp lý</t>
  </si>
  <si>
    <t>[Tuần 39] Business.md 0.6 · Rà pháp lý · Sổ rủi ro</t>
  </si>
  <si>
    <t>Tài liệu cập nhật; biết còn cách ngưỡng giấy phép bao xa.</t>
  </si>
  <si>
    <t>TN · ĐP</t>
  </si>
  <si>
    <t>Business.md 0.6 · ghi chú pháp lý có hạn · sổ rủi ro cập nhật</t>
  </si>
  <si>
    <t>4.4  NGUỘI · Bàn cược C6 (mùa hè) · Dàn deck</t>
  </si>
  <si>
    <t>[Tuần 40] Bàn cược C6 (T41–T46) · Dàn deck · Lịch hè của nhóm</t>
  </si>
  <si>
    <t>Ba cược cho chu kỳ nặng nhất năm; dàn deck; lịch hè của nhóm.</t>
  </si>
  <si>
    <t>ALL · TN · ĐP</t>
  </si>
  <si>
    <t>3 thẻ cược C6 · dàn deck 10 slide · lịch hè của nhóm</t>
  </si>
  <si>
    <t>4.5  Chiến dịch hè · Deck 10 slide · Bảo hiểm</t>
  </si>
  <si>
    <t>[Tuần 41] Deck 10 slide · 10 đầu mối B2B · Chiến dịch hè bắt đầu · Đối tác tỉnh 3 · Bảo hiểm — hỏi 2 hãng</t>
  </si>
  <si>
    <t>Mùa cao điểm bắt đầu; có deck để chào B2B; biết mô hình hợp tác bảo hiểm.</t>
  </si>
  <si>
    <t>TN · VH · TT · ĐP</t>
  </si>
  <si>
    <t>Deck PDF · bảng 10 đầu mối B2B (5 đã gửi) · bảng số hè theo ngày · đối tác tỉnh 3 · bảng 2 hãng bảo hiểm + ghi chú luật</t>
  </si>
  <si>
    <t>4.6  Gặp 3 đầu mối B2B · Đo hè tuần 2</t>
  </si>
  <si>
    <t>[Tuần 42] 3 cuộc gặp B2B · Đo hè tuần 2 · Creator đăng bài</t>
  </si>
  <si>
    <t>Biết B2B đo thành công bằng gì và ai quyết.</t>
  </si>
  <si>
    <t>3 ghi chú cuộc gặp + bước kế tiếp · số hè tuần 2</t>
  </si>
  <si>
    <t>4.7  Tối ưu chuyển đổi dòng thu chính · Lô in 2</t>
  </si>
  <si>
    <t>[Tuần 43] A/B thông điệp «lợi ích &gt; tiền» · Lô in 2 · Chiến dịch hè tuần 3</t>
  </si>
  <si>
    <t>Thử thông điệp «lợi ích &gt; tiền»; lô 2 vào xưởng.</t>
  </si>
  <si>
    <t>Thiết lập A/B + số nền · đơn in lô 2</t>
  </si>
  <si>
    <t>4.8  Chăm sóc khách hàng chính thức hoá · An toàn mùa hè</t>
  </si>
  <si>
    <t>[Tuần 44] Quy trình hỗ trợ khách hàng · Rà sự cố mùa hè · Chiến dịch hè tuần 4</t>
  </si>
  <si>
    <t>Chuyển từ trả lời tay sang quy trình; nội dung an toàn cập nhật theo mùa.</t>
  </si>
  <si>
    <t>Tệp quy trình hỗ trợ · FAQ 20 câu công khai trên trang tĩnh · bảng ngoại lệ cập nhật mùa hè</t>
  </si>
  <si>
    <t>4.9  B2B hợp đồng thử · Thuế quý · Dòng tiền v5</t>
  </si>
  <si>
    <t>[Tuần 45] Đề xuất B2B · Thuế quý · Dòng tiền v5</t>
  </si>
  <si>
    <t>Có đề xuất B2B trên bàn; nghĩa vụ thuế đúng hạn; biết LTV/CAC.</t>
  </si>
  <si>
    <t>Đề xuất hoặc hợp đồng B2B · tờ khai thuế quý · sheet dòng tiền v5 + 1 trang đọc kết quả</t>
  </si>
  <si>
    <t>4.10  Kết chu kỳ 6</t>
  </si>
  <si>
    <t>[Tuần 46] Kết cược C6 · Bài học hè</t>
  </si>
  <si>
    <t>Kết 3 cược mùa hè; rút bài học cho hè năm sau.</t>
  </si>
  <si>
    <t>Biên bản kết C6 (hè, B2B, dòng thu chính, LTV/CAC theo kênh) · 1 trang bài học hè</t>
  </si>
  <si>
    <t>4.11  NGUỘI · Business.md 0.7 · Rủi ro · Pháp lý</t>
  </si>
  <si>
    <t>[Tuần 47] Business.md 0.7 · Sổ rủi ro · giấy phép MXH · hồ sơ dữ liệu · Bảng tiêu chí cổng Q4</t>
  </si>
  <si>
    <t>Tài liệu và hồ sơ sẵn sàng cho cổng quý 4.</t>
  </si>
  <si>
    <t>Business.md 0.7 · ghi chú trạng thái giấy phép MXH và hồ sơ dữ liệu · bảng tiêu chí cổng Q4 có số sẵn</t>
  </si>
  <si>
    <t>4.12  CỔNG QUÝ 4 — gọi vốn / thi / tự nuôi / dừng</t>
  </si>
  <si>
    <t>[Tuần 48] Họp cổng 2 giờ</t>
  </si>
  <si>
    <t>Quyết định hướng đi năm 2 bằng tiêu chí đã viết trước.</t>
  </si>
  <si>
    <t>Biên bản cổng Q4 + ADR hướng năm 2 + Rocks «quý 5»</t>
  </si>
  <si>
    <t>TỔNG KẾT NĂM 1
→ GIAI ĐOẠN 5:
MỞ RỘNG</t>
  </si>
  <si>
    <t>5.1  Hồ sơ cuộc thi / gọi vốn hoặc kế hoạch tự nuôi · Kiểm kê tài sản</t>
  </si>
  <si>
    <t>[Tuần 49] Theo ADR T48 · Kiểm kê tài sản tổ chức</t>
  </si>
  <si>
    <t>Chuẩn bị theo ADR T48; biết tổ chức đang sở hữu những gì.</t>
  </si>
  <si>
    <t>Hồ sơ gọi vốn/cuộc thi hoặc sheet dòng tiền v6 · bảng kiểm kê tài sản có số</t>
  </si>
  <si>
    <t>5.2  Tổng kết năm 1 · Phỏng vấn 10 người dùng lâu nhất</t>
  </si>
  <si>
    <t>[Tuần 50] 6 trang tổng kết L1–L6 · Phỏng vấn 10 người dùng lâu nhất</t>
  </si>
  <si>
    <t>Rút bài học theo 6 lớp; nghe người ở lại lâu nhất.</t>
  </si>
  <si>
    <t>ALL · TT</t>
  </si>
  <si>
    <t>6 trang tổng kết L1–L6 · 10 tệp phỏng vấn người dùng lâu nhất</t>
  </si>
  <si>
    <t>5.3  Business.md 1.0 · Kế hoạch năm 2</t>
  </si>
  <si>
    <t>[Tuần 51] Business.md 1.0 · Kế hoạch giai đoạn 5 (năm 2)</t>
  </si>
  <si>
    <t>Viết lại tài liệu nền từ bằng chứng; vạch giai đoạn 5.</t>
  </si>
  <si>
    <t>TN · ALL</t>
  </si>
  <si>
    <t>Business.md 1.0 (mục 2 không còn giả thuyết) · kế hoạch năm 2</t>
  </si>
  <si>
    <t>5.4  Họp tổng kết · Quyết định năm 2 · Nghỉ</t>
  </si>
  <si>
    <t>[Tuần 52] Họp tổng kết</t>
  </si>
  <si>
    <t>Đóng năm 1.</t>
  </si>
  <si>
    <t>Biên bản họp tổng kết năm 1</t>
  </si>
  <si>
    <t>C1  ·  CHU KỲ 1 — Khám phá khách hàng</t>
  </si>
  <si>
    <t>T01.1  Tầm nhìn v0</t>
  </si>
  <si>
    <t>Đọc 4 câu trả lời riêng của từng người (bài tập trước họp). Chọn một câu «Levart kinh doanh gì» và một câu «khách đầu tiên». Chép câu của nhóm vào Phụ lục E. Ký tên, ghi ngày. Giới hạn 20 phút.</t>
  </si>
  <si>
    <t>TN</t>
  </si>
  <si>
    <t>Chưa bắt đầu</t>
  </si>
  <si>
    <t>Một trang tầm nhìn v0 có ngày, có tên người ký</t>
  </si>
  <si>
    <t>T01.2  Phân loại du lịch (nháp)</t>
  </si>
  <si>
    <t>Liệt kê 6–8 loại theo cách người trẻ tự gọi: nghỉ dưỡng, khám phá văn hoá–ẩm thực, trekking/mạo hiểm, check-in/chụp ảnh, chữa lành, lễ hội, phượt xe máy, công tác kết hợp. Đánh dấu rõ: dùng để HỎI, chưa chốt.</t>
  </si>
  <si>
    <t>docs/01_khach-hang/phan-loai-v0.md</t>
  </si>
  <si>
    <t>T01.3  Xác định vấn đề (giả thuyết)</t>
  </si>
  <si>
    <t>Mỗi người viết 2 nỗi đau dạng «Khi ___, tôi muốn ___, nhưng ___». Gom, bỏ trùng, giữ 3–4. Ghi rõ đây là giả thuyết sẽ kiểm ở T3–T6.</t>
  </si>
  <si>
    <t>docs/01_khach-hang/noi-dau-gia-thuyet.md</t>
  </si>
  <si>
    <t>T01.4  Tập khách hàng target (dự kiến)</t>
  </si>
  <si>
    <t>Một câu mô tả đầu cầu (đề xuất: 18–25 tuổi, Hà Nội, đi tự túc ≥ 1 lần/12 tháng). Kiểm bằng cách chỉ ra 5 người THẬT khớp mô tả trong danh sách 30–40 tên.</t>
  </si>
  <si>
    <t>TT</t>
  </si>
  <si>
    <t>Câu mô tả + 5 tên thật trong tệp persona v0</t>
  </si>
  <si>
    <t>T01.5  Vai trò từng thành viên</t>
  </si>
  <si>
    <t>Điền BẢNG GIỜ trước, BẢNG GHẾ sau. Ghế ĐP giao người có giờ ổn định nhất. Tổng giờ &lt; 12/tuần thì chu kỳ 1 chỉ giữ 2 cược thay vì 3.</t>
  </si>
  <si>
    <t>ĐP</t>
  </si>
  <si>
    <t>Bảng ghế + bảng giờ có tên, lưu docs/05_phap-ly-tai-chinh/</t>
  </si>
  <si>
    <t>T01.6  Kịch bản phỏng vấn v0</t>
  </si>
  <si>
    <t>Lấy Phụ lục A Business.md; đối chiếu 6 nhóm câu hỏi của nhóm + 2 nhóm bổ sung (tiền đã chi, giữ gì sau chuyến đi). Mỗi nhóm ≥ 1 câu hỏi về CHUYẾN GẦN NHẤT, không hỏi chung chung.</t>
  </si>
  <si>
    <t>docs/01_khach-hang/kich-ban-v0.md</t>
  </si>
  <si>
    <t>T01.7  Danh sách phỏng vấn</t>
  </si>
  <si>
    <t>Gộp 10 tên/người đã nộp trước họp thành một bảng: tên · tuổi · học/làm · đã đi tự túc? · quan hệ · ai hẹn. Đánh dấu ai đúng đầu cầu, loại ai không.</t>
  </si>
  <si>
    <t>Bảng 30–40 dòng; cần ≥ 30 người đúng đầu cầu</t>
  </si>
  <si>
    <t>T01.8  MVP — sơ đồ luồng sử dụng app (as-is)</t>
  </si>
  <si>
    <t>Vẽ 1 trang luồng HIỆN CÓ: mở app → đăng nhập/khách → xem bảng tin → lập lịch trình → check-in đóng dấu → chia sẻ. Ghi ở mỗi bước: đã có / chưa có / hỏng. Không xây gì.</t>
  </si>
  <si>
    <t>SP</t>
  </si>
  <si>
    <t>docs/02_thi-nghiem/luong-as-is.md (1 trang)</t>
  </si>
  <si>
    <t>T01.9  Lịch họp tuần, thư mục docs/, bãi đỗ ý tưởng</t>
  </si>
  <si>
    <t>Gửi lời mời lịch trong 10 phút cuối họp. Tạo cây docs/ theo Business.md 8.4; chép Phụ lục B–F thành tệp mẫu; tạo 07_bai-do/bai-do.md và ghi ngay các ý đã nêu trong họp.</t>
  </si>
  <si>
    <t>Lịch đã gửi · thư mục có 5 mẫu · bãi đỗ ≥ 5 dòng</t>
  </si>
  <si>
    <t>T01.10  Danh sách 12 người thử nghiệm kín</t>
  </si>
  <si>
    <t>Chọn 12 người từ danh sách phỏng vấn, đồng ý cài bản thử và giữ liên tục 14 ngày; ghi email Google của họ. (Yêu cầu bắt buộc của Google Play với tài khoản cá nhân.)</t>
  </si>
  <si>
    <t>Bảng 12 tên + email Google</t>
  </si>
  <si>
    <t>T01.11  Biên bản M1</t>
  </si>
  <si>
    <t>Ghi trực tiếp trong họp theo next meeting propose.md phần 7 — 9 quyết định, mỗi quyết định một dấu tick.</t>
  </si>
  <si>
    <t>docs/06_hop/2026-09-1x-M1.md</t>
  </si>
  <si>
    <t>T02.1  2 phỏng vấn thử</t>
  </si>
  <si>
    <t>Chọn 2 người dễ hẹn nhưng đúng đầu cầu. 30'/cuộc, ghi âm có xin phép. Sau mỗi cuộc dành 10' ghi: câu nào bị trả lời chung chung, câu nào vô tình dẫn dắt, thứ tự nào làm họ mở lòng. Sửa thành v1, ghi «thay đổi so với v0» ở đầu tệp.</t>
  </si>
  <si>
    <t>2 tệp phỏng vấn + kich-ban-v1.md gửi nhóm trước T3</t>
  </si>
  <si>
    <t>T02.2  Bảng so sánh 6 app đối thủ</t>
  </si>
  <si>
    <t>6 app theo 6 nhóm: 2 OTA, 1 bản đồ, 1 lịch trình, 1 mạng xã hội, 1 app Việt. Mỗi app 30', đóng vai người sắp đi tỉnh mục tiêu với 3 nhiệm vụ: lên kế hoạch 3 ngày / lưu kỷ niệm / tìm người đi cùng. Chụp màn hình từng bước.</t>
  </si>
  <si>
    <t>TN · SP</t>
  </si>
  <si>
    <t>Bảng 6 hàng × 5 trục + 2 cột «làm tốt nhất» và «khoảng trống», có ảnh</t>
  </si>
  <si>
    <t>T02.3  Research số liệu du lịch</t>
  </si>
  <si>
    <t>Theo Phụ lục B week_index. Bảng: chỉ số · giá trị · năm · nguồn (link) · độ tin (chính thức/báo chí/ước). Điền 4 biến công thức cỡ thị trường; biến nào không có thì ghi «chưa có, cần khảo sát» thay vì đoán.</t>
  </si>
  <si>
    <t>Tệp có ≥ 8 dòng có link; công thức có ≥ 2/4 biến</t>
  </si>
  <si>
    <t>T02.4  Chọn tỉnh mục tiêu → ADR</t>
  </si>
  <si>
    <t>Chấm 3 ứng viên (Hà Giang, Ninh Bình, Mộc Châu) theo 4 tiêu chí 1–3 điểm: (a) ≥50% danh sách phỏng vấn đã/định đi; (b) đi được cuối tuần từ Hà Nội; (c) mùa đẹp rơi vào T13–T30; (d) nhiều homestay/quán nhỏ. Cao điểm nhất thắng.</t>
  </si>
  <si>
    <t>VH</t>
  </si>
  <si>
    <t>docs/00_quyet-dinh/2026-09-2x-tinh-muc-tieu.md</t>
  </si>
  <si>
    <t>T02.5  Danh sách 10 đối tác tỉnh mục tiêu</t>
  </si>
  <si>
    <t>Nguồn: Google Maps đọc tay ghi thông tin liên hệ công khai (KHÔNG cào hàng loạt — vi phạm điều khoản), fanpage, nhóm review. Ưu tiên chủ trẻ đang chạy fanpage.</t>
  </si>
  <si>
    <t>10 dòng: tên · loại · khu vực · liên hệ · kênh họ dùng · trạng thái</t>
  </si>
  <si>
    <t>T02.6  Khởi tạo bảng số tuần</t>
  </si>
  <si>
    <t>Sheet cột: phỏng vấn cộng dồn · đối tác đã gọi · giờ đã góp (từng người) · việc tuần xong/tổng. Điền tuần 2.</t>
  </si>
  <si>
    <t>Sheet có dòng T2</t>
  </si>
  <si>
    <t>T03.1  ≥ 8 phỏng vấn khách hàng</t>
  </si>
  <si>
    <t>Mỗi người 2 cuộc/tuần. Hẹn qua chat, 30', ưu tiên gặp trực tiếp hoặc gọi video. Ghi tệp trong ≤ 24 giờ theo 8 cột + ≥ 3 câu trích nguyên văn + 1 dòng «học được» + 1 dòng «giả thuyết bị lay». TT đọc từng tệp, trả lại nếu thiếu trích dẫn.</t>
  </si>
  <si>
    <t>8 tệp docs/01_khach-hang/; bảng theo dõi cập nhật</t>
  </si>
  <si>
    <t>T03.2  Ký thoả thuận đồng sáng lập</t>
  </si>
  <si>
    <t>Nội dung tối thiểu: (a) ghế và trách nhiệm; (b) ghi giờ và chia phần theo đóng góp thật; (c) mọi thứ tạo ra thuộc dự án/DN tương lai; (d) rời đi giữ phần đã góp, không rút IP; (e) sửa thoả thuận cần đồng thuận; (f) bảo mật. Đọc to từng điều trong họp rồi ký.</t>
  </si>
  <si>
    <t>PDF có chữ ký mọi người, lưu docs/05_phap-ly-tai-chinh/</t>
  </si>
  <si>
    <t>T03.3  Mở bảng ghi giờ</t>
  </si>
  <si>
    <t>Sheet: ngày · người · việc · giờ · loại (làm/họp/học). Mỗi người tự ghi cuối ngày; ĐP chốt sáng thứ Hai và đưa tổng vào bảng số. Đây là dữ liệu chia phần và tính CAC bằng giờ.</t>
  </si>
  <si>
    <t>Sheet có dòng của mọi người tuần 3</t>
  </si>
  <si>
    <t>T03.4  Họp Level 10 lần đầu</t>
  </si>
  <si>
    <t>Chạy đúng 7 khúc theo Phụ lục C Business.md; có người canh giờ; danh sách vấn đề ghi riêng; chấm điểm buổi họp cuối buổi.</t>
  </si>
  <si>
    <t>Biên bản có bảng số, danh sách vấn đề, việc tuần có tên người</t>
  </si>
  <si>
    <t>T03.5  Gọi 2 đối tác đầu tiên</t>
  </si>
  <si>
    <t>Kịch bản 10': giới thiệu 1 câu (sinh viên làm dự án du lịch, muốn hiểu cách anh/chị tìm khách trẻ). 5 câu: khách trẻ đến từ đâu · đang dùng kênh nào trả bao nhiêu · bực gì nhất · mùa nào vắng · nếu có 30 bạn trẻ tới trong tháng thì sẵn lòng làm gì. Mục đích là NGHE, không bán.</t>
  </si>
  <si>
    <t>2 dòng bảng đối tác có trạng thái + ghi chú</t>
  </si>
  <si>
    <t>T03.6  Marketing trên các nền tảng — 1 trang</t>
  </si>
  <si>
    <t>Đọc, chưa chạy: trang trợ giúp Play về trang cửa hàng; cách đề xuất của TikTok/Threads ở mức phổ thông; 5 nhóm Facebook du lịch lớn (tên, số thành viên, quy tắc đăng); mạng affiliate ở Việt Nam (điều kiện tham gia — cần kiểm chứng).</t>
  </si>
  <si>
    <t>docs/03_tang-truong/marketing-nen-tang.md — nền cho Bullseye T15</t>
  </si>
  <si>
    <t>T04.1  ≥ 8 phỏng vấn (cộng dồn 16)</t>
  </si>
  <si>
    <t>Như T3.</t>
  </si>
  <si>
    <t>16 tệp phỏng vấn</t>
  </si>
  <si>
    <t>T04.2  Bảng đếm nỗi đau</t>
  </si>
  <si>
    <t>Sheet: dòng = một nỗi đau (gộp các cách nói khác nhau về cùng một việc); cột = số người nêu KHÔNG GỢI · có gợi · tần suất TB · hài lòng TB · số người đã chi tiền · trích dẫn tiêu biểu (mã tệp). Cập nhật sau mỗi tệp mới.</t>
  </si>
  <si>
    <t>Sheet phủ đủ 16 tệp — nguồn cho top 3 ở T7</t>
  </si>
  <si>
    <t>T04.3  Tra nhãn hiệu «Levart»</t>
  </si>
  <si>
    <t>Tra Levart và biến thể trên cơ sở dữ liệu Cục Sở hữu trí tuệ và WIPO Global Brand Database, nhóm 9/35/39/41/42; tra tên miền; tra Play &amp; App Store xem có app trùng tên. Chụp màn hình kết quả. Nếu trùng thì đưa vào danh sách vấn đề (đổi tên là quyết định cửa một chiều).</t>
  </si>
  <si>
    <t>Tệp kết quả + ảnh chụp trong docs/05_</t>
  </si>
  <si>
    <t>T04.4  Mua tên miền</t>
  </si>
  <si>
    <t>.vn và .com (nếu còn). Đứng tên một cá nhân tạm; ghi vào thoả thuận là tài sản dự án; chuyển sang DN ở T26+. Ghi sổ quỹ.</t>
  </si>
  <si>
    <t>Hoá đơn + dòng sổ quỹ</t>
  </si>
  <si>
    <t>T04.5  5 câu hỏi luật + đặt hẹn</t>
  </si>
  <si>
    <t>Soạn 5 câu kèm 1 trang mô tả app (có bảng tin, GPS, ảnh, khách ẩn danh, chưa doanh thu). Gửi trước cho người hiểu luật; hẹn 45' trong T5.</t>
  </si>
  <si>
    <t>Lịch hẹn đã chốt + tệp câu hỏi</t>
  </si>
  <si>
    <t>T04.6  Gọi 3 đối tác còn lại</t>
  </si>
  <si>
    <t>5/5 dòng bảng đối tác có trạng thái</t>
  </si>
  <si>
    <t>T04.7  Bảng 3 chương trình affiliate</t>
  </si>
  <si>
    <t>Chọn 1 lưu trú, 1 vé (xe khách/máy bay), 1 sàn TMĐT. Đọc điều khoản: đối tượng (cá nhân/DN) · cách duyệt · hoa hồng · thời hạn ghi nhận (cookie) · điều cấm · ngưỡng thanh toán · link điều khoản · ngày đọc.</t>
  </si>
  <si>
    <t>Bảng 3 dòng × 8 cột trong docs/04_doi-tac/affiliate.md</t>
  </si>
  <si>
    <t>T04.8  Gom phản hồi về app</t>
  </si>
  <si>
    <t>Một tệp, mỗi phỏng vấn một dòng: bấm gì đầu tiên · hiểu app làm gì (nguyên văn) · bực ở đâu. KHÔNG sửa app.</t>
  </si>
  <si>
    <t>16 dòng — đầu vào cho luồng to-be T6</t>
  </si>
  <si>
    <t>T05.1  ≥ 8 phỏng vấn (cộng dồn 24)</t>
  </si>
  <si>
    <t>24 tệp phỏng vấn</t>
  </si>
  <si>
    <t>T05.2  Phân tích chéo sơ bộ</t>
  </si>
  <si>
    <t>Pivot từ bảng đếm: nhóm đặc điểm (năm học, số chuyến/năm, ngân sách) × nỗi đau × cảm xúc mạnh. Tìm «ai đau nhất» — xem có phân khúc hẹp hơn đầu cầu không.</t>
  </si>
  <si>
    <t>1 trang docs/01_khach-hang/phan-tich-so-bo.md</t>
  </si>
  <si>
    <t>T05.3  Buổi 45' với người hiểu luật</t>
  </si>
  <si>
    <t>Đi theo 5 câu đã gửi; hỏi thêm: điều khoản sử dụng cần gì · xin đồng ý vị trí thế nào · tuổi tối thiểu (dưới 16 cần cha mẹ theo NĐ 147). Đánh dấu câu nào cần luật sư chuyên sâu sau. Ghi biên bản trong ngày.</t>
  </si>
  <si>
    <t>Biên bản trong docs/05_phap-ly-tai-chinh/</t>
  </si>
  <si>
    <t>T05.4  Danh mục pháp lý v1</t>
  </si>
  <si>
    <t>Bảng theo giai đoạn 0–4 (Business.md 7.2) thêm cột: câu trả lời từ buổi luật · việc phải làm · hạn · người phụ trách.</t>
  </si>
  <si>
    <t>docs/05_/danh-muc-phap-ly-v1.md — rà lại T13, T24, T39</t>
  </si>
  <si>
    <t>T05.5  Tổng hợp 5 cuộc gọi đối tác</t>
  </si>
  <si>
    <t>Bảng: ai đồng ý thử · điều kiện họ nêu · kênh họ dùng · chi phí họ đang trả. Lập BẢNG ĐỐI TÁC CÓ THỂ CÓ theo loại (Business.md 6.2): loại · ứng viên · mô hình tiền dự kiến · giai đoạn.</t>
  </si>
  <si>
    <t>2 bảng trong docs/04_; cần ≥ 3 «sẵn lòng thử» để qua cổng Q1</t>
  </si>
  <si>
    <t>T05.6  Phân loại du lịch v1</t>
  </si>
  <si>
    <t>Từ 24 tệp: liệt kê từ ngữ họ dùng để gọi chuyến đi (đi phượt, đi chill, đi chữa lành, đi sống ảo, đi trek…); gom 6–8 loại; đếm; đối chiếu bản nháp T1.</t>
  </si>
  <si>
    <t>1 trang phan-loai-v1.md — chốt v2 ở T13</t>
  </si>
  <si>
    <t>T06.1  ≥ 6 phỏng vấn (cộng dồn 30)</t>
  </si>
  <si>
    <t>30 tệp phỏng vấn</t>
  </si>
  <si>
    <t>T06.2  Pre-mortem + sổ rủi ro v1</t>
  </si>
  <si>
    <t>30' trong họp tuần: đọc kịch bản «tháng 9/2027 Levart đã chết»; mỗi người viết 3 lý do trong 2'; đọc vòng; gom theo 9 loại rủi ro; chấm khả năng × tác động (1–3); chọn top 5 đỏ; gán người theo dõi, cách giảm, tín hiệu cảnh báo sớm. Đưa cả G1–G8 vào.</t>
  </si>
  <si>
    <t>docs/05_/so-rui-ro.md ≥ 12 dòng, top 5 có người theo dõi</t>
  </si>
  <si>
    <t>T06.3  Bảng tình huống ngoại lệ của tỉnh</t>
  </si>
  <si>
    <t>Theo 6 nhóm (sức khoẻ · an ninh · thiên tai/giao thông · cháy nổ/cứu nạn · pháp lý khi đi · số). Cho tỉnh mục tiêu: bệnh viện/trạm y tế gần điểm phổ biến · số công an/CSGT huyện · nhà xe · tháng mưa lũ/sạt lở · đoạn đường nguy hiểm · quy định đặc thù. Đánh dấu «chưa xác minh» — gọi thử ở T18.</t>
  </si>
  <si>
    <t>docs/04_/khan-cap-&lt;tinh&gt;.md</t>
  </si>
  <si>
    <t>T06.4  Sơ đồ luồng to-be nháp</t>
  </si>
  <si>
    <t>Từ nỗi đau đang nổi: vẽ luồng người dùng lý tưởng 1 trang (trước – trong – sau chuyến); đánh dấu bước nào app đã có / chưa có. CHƯA XÂY.</t>
  </si>
  <si>
    <t>docs/02_thi-nghiem/luong-to-be-v0.md</t>
  </si>
  <si>
    <t>T06.5  Chuẩn bị buổi tổng hợp T7</t>
  </si>
  <si>
    <t>In/chuẩn bị thẻ; gom 30 tệp; in bảng đếm; đặt lịch 3 giờ; chia vai (người đọc, người dán, người đếm).</t>
  </si>
  <si>
    <t>Lịch + vật liệu sẵn sàng</t>
  </si>
  <si>
    <t>T07.1  Buổi tổng hợp 3 giờ</t>
  </si>
  <si>
    <t>(1) 40' mỗi tệp → thẻ nỗi đau (1 câu + mã tệp). (2) 30' dán, gom cụm, đặt tên cụm BẰNG LỜI KHÁCH. (3) 20' đếm mỗi cụm: số người không gợi · tần suất TB · hài lòng TB · số đã chi. (4) 30' chấm cụm = tần suất × (6 − hài lòng) × (1 + tỷ lệ đã chi) → top 3. (5) 40' persona v1 theo 8 mục. (6) 20' ba con số. Chụp ảnh bảng.</t>
  </si>
  <si>
    <t>persona-v1.md; top3-noi-dau.md có số + ảnh. Ngưỡng «đủ đau» đề xuất: ≥ 60% tự nêu, ≥ 30% đã chi</t>
  </si>
  <si>
    <t>T07.2  Kết 3 cược chu kỳ 1</t>
  </si>
  <si>
    <t>Điền mục «Kết quả» từng thẻ: số đo · bằng chứng (link) · kết luận tiếp/sửa/bỏ. Viết biên bản kết C1.</t>
  </si>
  <si>
    <t>3 thẻ có kết quả + docs/06_hop/…-ket-C1.md</t>
  </si>
  <si>
    <t>T07.3  Gạch giả thuyết G1–G8</t>
  </si>
  <si>
    <t>Bảng G1–G8 thêm cột «bằng chứng T7»: xác nhận / bác / chưa rõ. Cập nhật bãi đỗ: ý nào chết hẳn, ý nào lên ứng viên cược.</t>
  </si>
  <si>
    <t>Bảng cập nhật — đầu vào cho Business.md 0.2</t>
  </si>
  <si>
    <t>T07.4  Bù giờ</t>
  </si>
  <si>
    <t>Tuần nguội — không xếp việc mới.</t>
  </si>
  <si>
    <t>T08.1  Business.md 0.2</t>
  </si>
  <si>
    <t>Sửa mục 2.1–2.5: mỗi ô (GT) → «Bằng chứng: … (n=30)» hoặc gạch. Lean Canvas v1. JTBD v1 viết lại bằng lời khách. Định vị v1: giữ hay đổi «hộ chiếu». Ghi bảng thay đổi ở đầu tệp.</t>
  </si>
  <si>
    <t>Tệp có ngày, đánh số 0.2; cả nhóm đọc trước họp</t>
  </si>
  <si>
    <t>T08.2  Kịch bản phỏng vấn lần 2 (phỏng vấn giải pháp, 20')</t>
  </si>
  <si>
    <t>5' xác nhận top 3 · 5' phản ứng định vị (ảnh hộ chiếu 5 giây → «app này làm gì?») · 5' thẻ giá (hộ chiếu in X đ / gói AI Y đ-tháng / miễn phí có quảng cáo — chọn gì, mức nào quá đắt-quá rẻ) · 3' dịch vụ muốn đặt qua app (chọn 3, gạch 2 «không bao giờ») · 2' điều kiện tối thiểu để đi cùng người lạ. Người: 5 cũ + 5 mới.</t>
  </si>
  <si>
    <t>kich-ban-lan-2.md kèm ảnh và 3 thẻ giá</t>
  </si>
  <si>
    <t>T08.3  Bàn cược chu kỳ 2 (T9–T14)</t>
  </si>
  <si>
    <t>3 thẻ theo Phụ lục B: (A) cohort 30–50 người thật — kích hoạt ≥ X%, quay lại 7 ngày ≥ Y%; (B) 10 nội dung ngắn trên 2 kênh — đo xem → cài; (C) sản phẩm sẵn cho cohort. Nhóm chốt X, Y.</t>
  </si>
  <si>
    <t>3 tệp thẻ trong docs/02_thi-nghiem/</t>
  </si>
  <si>
    <t>T08.4  Chính sách quyền riêng tư (nháp)</t>
  </si>
  <si>
    <t>Dựa biên bản luật. Mục: dữ liệu thu (tài khoản, VỊ TRÍ — dữ liệu nhạy cảm, ảnh, thiết bị) · mục đích · cơ sở đồng ý (đồng ý riêng cho vị trí) · thời gian lưu · chia sẻ với ai · quyền người dùng (xem/sửa/xoá/rút) · liên hệ. Gửi người hiểu luật xem 15'.</t>
  </si>
  <si>
    <t>Nháp v0.9 trong docs/05_ — công khai T9</t>
  </si>
  <si>
    <t>T08.5  Danh mục kỹ thuật tối thiểu cho cohort</t>
  </si>
  <si>
    <t>4 việc chặn thí nghiệm: con dấu theo tài khoản (đổi máy không mất) · báo cáo nội dung · chính sách riêng tư hiển thị trong app · phễu đo 5 hành vi. Ước giờ; nếu không kịp trước T9 thì chốt cái nào bắt buộc trước 12 người.</t>
  </si>
  <si>
    <t>Danh mục có giờ và thứ tự (chi tiết kỹ thuật ở status.md)</t>
  </si>
  <si>
    <t>T08.6  Trang tĩnh (tên miền)</t>
  </si>
  <si>
    <t>Chọn cách rẻ nhất trên tên miền đã mua. Nội dung: giới thiệu 3 dòng · chính sách riêng tư · điều khoản · cách yêu cầu xoá tài khoản · liên hệ.</t>
  </si>
  <si>
    <t>Link mở được — cũng là tên miền cho hồ sơ mạng xã hội</t>
  </si>
  <si>
    <t>C2  ·  CHU KỲ 2 — Cohort đầu tiên &amp; Cổng quý 1</t>
  </si>
  <si>
    <t>T09.1  Thử nghiệm kín 12 người</t>
  </si>
  <si>
    <t>Tạo bản thử kín; thêm 12 email; gửi hướng dẫn cài 3 bước; xác nhận từng người đã cài VÀ mở app; ghi ngày bắt đầu (đủ 14 ngày rơi vào T11); nhắc không gỡ.</t>
  </si>
  <si>
    <t>Bảng 12 người «đã cài» + ngày bắt đầu</t>
  </si>
  <si>
    <t>T09.2  Phễu đo hoạt động</t>
  </si>
  <si>
    <t>Kiểm 5 hành vi được ghi nhận: mở lần đầu · đóng dấu đầu · quay lại · chia sẻ · bấm đối tác. ĐP lập dashboard đơn giản (sheet nhập tay hằng tuần nếu cần).</t>
  </si>
  <si>
    <t>SP · ĐP</t>
  </si>
  <si>
    <t>Bảng số T9 có cột kích hoạt với số thật (dù nhỏ)</t>
  </si>
  <si>
    <t>T09.3  5 phỏng vấn lần 2</t>
  </si>
  <si>
    <t>Theo kịch bản T8. Tệp ghi: đúng/sai top 3 · hiểu định vị (có/không + nguyên văn) · thẻ giá chọn · dịch vụ top và dịch vụ gạch · điều kiện đi chung.</t>
  </si>
  <si>
    <t>5 tệp phỏng vấn lần 2</t>
  </si>
  <si>
    <t>T09.4  3 nội dung ngắn đầu tiên</t>
  </si>
  <si>
    <t>Chủ đề: (1) «tôi đã đi X/34 tỉnh — bạn?» (2) «3 chỗ ở [tỉnh] không có trên bản đồ» (3) «hộ chiếu du lịch là gì». 15–30 giây, quay điện thoại, có hình con dấu. Đăng 1 kênh chính, đăng lại kênh 2. Ghi link + giờ đăng; đo sau 7 ngày.</t>
  </si>
  <si>
    <t>3 link trong docs/03_/noi-dung.md</t>
  </si>
  <si>
    <t>T09.5  Ưu đãi đối tác — 1 trang</t>
  </si>
  <si>
    <t>Với 3 đối tác đồng ý: ưu đãi nhỏ ít tốn đối tác (đồ uống/giảm 10%) cho người CHO XEM CON DẤU TỈNH trong app; cách xác nhận (xem màn hình); thời hạn T10–T14; cách đối tác báo lại số người.</t>
  </si>
  <si>
    <t>3 đối tác xác nhận qua chat</t>
  </si>
  <si>
    <t>T09.6  Công khai trang tĩnh</t>
  </si>
  <si>
    <t>Chính sách riêng tư + điều khoản v1 lên trang; đưa link vào app và trang cửa hàng.</t>
  </si>
  <si>
    <t>Link mở được, có ngày hiệu lực</t>
  </si>
  <si>
    <t>T10.1  Mời cohort lên 30 người</t>
  </si>
  <si>
    <t>Kênh: CLB du lịch/nhiếp ảnh, nhóm lớp, bạn của 12 người. Lời mời 3 câu + link. Điều kiện: cài, đăng ký, thử đóng 1 con dấu trong tuần (Hà Nội cũng tính). Lập nhóm chat cohort để hỗ trợ. Ghi NGUỒN từng người.</t>
  </si>
  <si>
    <t>Bảng cohort 30 dòng: tên · kênh · ngày cài · đã đóng dấu?</t>
  </si>
  <si>
    <t>T10.2  5 phỏng vấn lần 2 còn lại + phân tích</t>
  </si>
  <si>
    <t>Tổng hợp 10 cuộc: % xác nhận top 3 · % hiểu định vị đúng · phân bố thẻ giá (biểu đồ cột) · top 3 dịch vụ muốn đặt · 5 điều kiện đi chung hay gặp · kết luận 5 dòng.</t>
  </si>
  <si>
    <t>docs/01_/phong-van-lan-2-ket-qua.md</t>
  </si>
  <si>
    <t>T10.3  Thử 3 slogan với 20 người ngoài nhóm</t>
  </si>
  <si>
    <t>3 ảnh giống nhau, khác câu. 20 người chưa biết app, mỗi người xem 1 ảnh 5 giây → «app này làm gì?» và «nhớ câu gì?». Ghi đúng/sai. Chọn câu có tỷ lệ hiểu đúng + nhớ cao nhất. KHÔNG biểu quyết nội bộ.</t>
  </si>
  <si>
    <t>Bảng 20 dòng + ADR slogan v1</t>
  </si>
  <si>
    <t>T10.4  Chạy ưu đãi đối tác</t>
  </si>
  <si>
    <t>Thông báo cohort: ai đi tỉnh mục tiêu T10–T14 thì dùng. Ghi từng trường hợp: ai · đối tác nào · đối tác nói gì.</t>
  </si>
  <si>
    <t>Bảng theo dõi ưu đãi</t>
  </si>
  <si>
    <t>T10.5  Theo dõi lỗi cohort</t>
  </si>
  <si>
    <t>Kênh báo lỗi trong nhóm chat. Bảng lỗi: mô tả · ai · thiết bị · mức. CHỈ sửa lỗi chặn (không mở được, mất dữ liệu). Không thêm tính năng.</t>
  </si>
  <si>
    <t>Bảng lỗi</t>
  </si>
  <si>
    <t>T10.6  3 nội dung tiếp theo</t>
  </si>
  <si>
    <t>Như T9.</t>
  </si>
  <si>
    <t>6/10 nội dung</t>
  </si>
  <si>
    <t>T11.1  Bảng số T11</t>
  </si>
  <si>
    <t>Kích hoạt = đóng dấu đầu ≤ 7 ngày / số cài, theo kênh. Quay lại 7 ngày = mở lại sau ≥ 7 ngày / số kích hoạt. Nội dung → cài (hỏi nguồn khi mời hoặc dùng link riêng). CAC bằng giờ = tổng giờ TT (T9–T11) / số kích hoạt.</t>
  </si>
  <si>
    <t>Bảng số có 4 chỉ số</t>
  </si>
  <si>
    <t>T11.2  Dòng tiền v0</t>
  </si>
  <si>
    <t>Phụ lục C, chỉ phần CHI CỐ ĐỊNH 12 tháng: hạ tầng đám mây (gói hiện tại, ngưỡng miễn phí) · bản đồ (hạn mức tháng) · AI (giá/lượt) · tên miền · phí tài khoản phát hành · phí nộp nhãn hiệu. Ghi giả định; tổng 12 tháng; ai ứng.</t>
  </si>
  <si>
    <t>Sheet v0 + đoạn ghi giả định</t>
  </si>
  <si>
    <t>T11.3  4 nội dung còn lại + bảng nội dung</t>
  </si>
  <si>
    <t>Bảng 10 dòng: nội dung · kênh · ngày · xem 7 ngày · tương tác · cài quy về · học được.</t>
  </si>
  <si>
    <t>10 dòng đủ số</t>
  </si>
  <si>
    <t>T11.4  Mở rộng bảng đối tác có thể có</t>
  </si>
  <si>
    <t>Thêm loại: vận chuyển (nhà xe tuyến, thuê xe máy tại tỉnh) · gửi đồ (quán/homestay điểm trung chuyển) · đồ dùng (affiliate sàn) · bảo hiểm (2 hãng bán online). Mỗi loại 2–3 ứng viên + mô hình tiền + giai đoạn.</t>
  </si>
  <si>
    <t>Bảng ≥ 12 dòng</t>
  </si>
  <si>
    <t>T11.5  Chuẩn bị khảo sát «rất thất vọng»</t>
  </si>
  <si>
    <t>1 câu bắt buộc (4 lựa chọn) + 3 câu phụ: dùng gì nhiều nhất · thay bằng gì nếu mất · giới thiệu cho ai. Lập form. Danh sách người đủ ≥ 2 tuần dùng (12 người T9 + cohort T10).</t>
  </si>
  <si>
    <t>Form + danh sách người nhận — gửi T12</t>
  </si>
  <si>
    <t>T12.1  Khảo sát Sean Ellis</t>
  </si>
  <si>
    <t>Gửi thứ Hai–Tư; nhắc 1 lần; đóng thứ Năm. Tính % «rất thất vọng» trên số người trả lời; ghi rõ tỷ lệ trả lời. Ngưỡng tham chiếu: 40%.</t>
  </si>
  <si>
    <t>Kết quả + cỡ mẫu n</t>
  </si>
  <si>
    <t>T12.2  Họp cổng 2 giờ</t>
  </si>
  <si>
    <t>Bảng tiêu chí giai đoạn 1: mỗi dòng mục tiêu · số thật · đạt/không · bằng chứng. Thảo luận 3 lối ra (Business.md 9.2). Ra ADR. Chốt 3 Rocks Q2 (đề xuất: 100 người hoạt động 1 trường · quay lại 30 ngày ≥ ngưỡng · 3 đối tác thử xong). Cập nhật Phụ lục E. Rà ghế 15'.</t>
  </si>
  <si>
    <t>Biên bản cổng Q1 + ADR + Rocks Q2</t>
  </si>
  <si>
    <t>T12.3  Điều kiện phát hành production</t>
  </si>
  <si>
    <t>Kiểm 14 ngày thử kín (T9→T11) đã đủ; 3 việc bắt buộc: báo cáo nội dung · chính sách riêng tư · đường dẫn xoá tài khoản. Nếu đủ thì nộp xin quyền phát hành; chuẩn bị trả lời câu hỏi của Play về thiết kế và quá trình thử nghiệm bằng dữ liệu cohort.</t>
  </si>
  <si>
    <t>Đơn đã nộp, hoặc danh sách còn thiếu có hạn</t>
  </si>
  <si>
    <t>T12.4  Cập nhật giai đoạn trong Business.md</t>
  </si>
  <si>
    <t>Mục 8.6 «Levart hiện ở» → giai đoạn 2 (nếu qua cổng), kèm số.</t>
  </si>
  <si>
    <t>Tệp cập nhật</t>
  </si>
  <si>
    <t>T13.1  5 phỏng vấn người bỏ (churn)</t>
  </si>
  <si>
    <t>Chọn 5 người đã cài nhưng không mở lại ≥ 7 ngày. 15'/cuộc, gọi hoặc nhắn. Hỏi QUÁ KHỨ: lần cuối mở app làm gì · định làm gì mà không làm được · dùng gì thay · điều gì khiến bạn quay lại app khác. KHÔNG hỏi «nếu có X». Tổng hợp 3 lý do bỏ đầu bảng.</t>
  </si>
  <si>
    <t>5 tệp + docs/01_/churn-C2.md — việc quan trọng nhất tuần</t>
  </si>
  <si>
    <t>T13.2  Phân loại du lịch v2</t>
  </si>
  <si>
    <t>Gộp 40 phỏng vấn (30 + 10); chốt 6–8 nhãn bằng lời khách; định nghĩa 1 dòng/nhãn; đề xuất làm nhãn chuyến đi trong app (SP nhận).</t>
  </si>
  <si>
    <t>Tệp phân loại v2 + ADR — dùng đo phân khúc nào kích hoạt/quay lại nhiều nhất</t>
  </si>
  <si>
    <t>T13.3  Brief tài sản đặc trưng (con dấu 34 tỉnh)</t>
  </si>
  <si>
    <t>1–2 trang: mục đích (nhận ra Levart trong 1 giây ở mọi nơi) · yêu cầu: hệ con dấu 34 tỉnh cùng ngôn ngữ hình, 1 màu chủ, 1 hình khoá · dùng ở app, ảnh chia sẻ 9:16, bản in, sticker · tránh giống logo có sẵn · 5 tham chiếu · hạn T16 · đổi công/ghi tên. Tìm người thiết kế (CLB thiết kế, bạn trường mỹ thuật).</t>
  </si>
  <si>
    <t>Brief + người nhận đã xác nhận</t>
  </si>
  <si>
    <t>T13.4  Cập nhật danh mục pháp lý + nộp nhãn hiệu</t>
  </si>
  <si>
    <t>Nếu tiếp: ước ngày chạm ngưỡng mạng xã hội từ tốc độ tăng cohort → ghi mốc cần pháp nhân. Nộp đơn nhãn hiệu (tự nộp hoặc qua đại diện — hỏi phí); lưu biên nhận.</t>
  </si>
  <si>
    <t>Đơn có số nhận; danh mục pháp lý v1.1</t>
  </si>
  <si>
    <t>T13.5  Thu sự cố thật của cohort</t>
  </si>
  <si>
    <t>Hỏi nhóm chat «chuyến gần nhất gặp chuyện gì?»; ghi vào bảng ngoại lệ, thêm cột «đã xảy ra với người thật».</t>
  </si>
  <si>
    <t>≥ 5 sự cố thật trong bảng</t>
  </si>
  <si>
    <t>T14.1  Kết 3 cược C2</t>
  </si>
  <si>
    <t>(A) kích hoạt, quay lại 7 ngày theo kênh so mục tiêu; (B) nội dung → cài; (C) sản phẩm sẵn đúng hạn? Kết luận từng thẻ: tiếp/sửa/bỏ.</t>
  </si>
  <si>
    <t>Biên bản kết C2</t>
  </si>
  <si>
    <t>T14.2  Danh mục ≤ 3 tính năng cho C3</t>
  </si>
  <si>
    <t>Nguồn: top 3 nỗi đau + 3 lý do bỏ. Mỗi ứng viên ghi: tên · nỗi đau hoặc lý do (link tệp) · số người nêu · phác thảo 3 dòng · khẩu vị (tuần) · cách đo thành công. Xếp theo số người nêu; chốt ≤ 3 trong họp.</t>
  </si>
  <si>
    <t>SP · TT</t>
  </si>
  <si>
    <t>docs/02_/tinh-nang-C3.md — mọi tính năng phải truy được về một tệp phỏng vấn</t>
  </si>
  <si>
    <t>T14.3  Dòng tiền v1</t>
  </si>
  <si>
    <t>Thêm CAC bằng giờ theo kênh; chi phí biến đổi thực đo từ bảng điều khiển nhà cung cấp T9–T14 chia số người hoạt động → chi phí/người/tháng v0.</t>
  </si>
  <si>
    <t>Sheet dòng tiền v1</t>
  </si>
  <si>
    <t>T14.4  Lịch tuần đệm T15–T16</t>
  </si>
  <si>
    <t>Tải nhẹ: ai rảnh làm gì; ai trực lỗi.</t>
  </si>
  <si>
    <t>Ghi trong biên bản</t>
  </si>
  <si>
    <t>T15.1  Business.md 0.3</t>
  </si>
  <si>
    <t>Thêm dữ liệu cohort vào mục 2 và 8.6; cập nhật 4.2 nếu slogan hoặc mức hiểu định vị đổi; ghi bài học từ churn.</t>
  </si>
  <si>
    <t>Tệp 0.3</t>
  </si>
  <si>
    <t>T15.2  Bullseye — chọn 2 kênh</t>
  </si>
  <si>
    <t>Bảng: kênh · số cài (từ cột nguồn cohort + link nội dung) · giờ bỏ ra · CAC giờ. Xếp hạng; chọn 2 kênh cho C3; ghi rõ vì sao bỏ kênh khác.</t>
  </si>
  <si>
    <t>ADR chọn kênh</t>
  </si>
  <si>
    <t>T15.3  Kiểm 3 việc bắt buộc + kế hoạch phát hành</t>
  </si>
  <si>
    <t>Trạng thái quyền production; báo cáo nội dung; chính sách trong app; đường dẫn xoá tài khoản. Kế hoạch T17: ngày phát hành, thông điệp, ai đăng ở đâu.</t>
  </si>
  <si>
    <t>Kế hoạch phát hành 1 trang</t>
  </si>
  <si>
    <t>T15.4  Cập nhật so sánh đối thủ</t>
  </si>
  <si>
    <t>1 giờ: có gì mới ở 6 app; ai đụng vào ý niệm «thành tựu/đóng dấu».</t>
  </si>
  <si>
    <t>Ghi chú thêm vào tệp so sánh T2</t>
  </si>
  <si>
    <t>T16.1  Bàn cược C3 (T17–T22)</t>
  </si>
  <si>
    <t>(A) phát hành + 100–150 người 1 trường: +30/tuần × 5 tuần (trừ Tết); (B) ≤ 3 tính năng từ T14; (C) 3 điểm đối tác có ưu đãi/con dấu đối tác + trang khẩn cấp offline nội dung tỉnh. Mỗi thẻ ghi số đo và hạn. Kiểm điểm Rocks Q2 giữa quý.</t>
  </si>
  <si>
    <t>3 thẻ cược C3</t>
  </si>
  <si>
    <t>T16.2  Nhận thiết kế con dấu v1</t>
  </si>
  <si>
    <t>Duyệt theo brief; thử in 1 tờ sticker; thử đặt trên ảnh 9:16; góp ý 1 vòng.</t>
  </si>
  <si>
    <t>Bộ hình v1 trong docs/03_/thuong-hieu/</t>
  </si>
  <si>
    <t>T16.3  Kế hoạch chiến dịch trường 1</t>
  </si>
  <si>
    <t>Danh sách CLB/nhóm lớp/bảng tin; lời mời; lịch đăng T17–T20; người phụ trách từng nhóm; link hoặc mã riêng để đo nguồn.</t>
  </si>
  <si>
    <t>Kế hoạch trong docs/03_</t>
  </si>
  <si>
    <t>T16.4  Lịch trực lỗi Tết Dương</t>
  </si>
  <si>
    <t>Ai trực 31/12–02/01.</t>
  </si>
  <si>
    <t>C3  ·  CHU KỲ 3 — Phát hành &amp; mở rộng trường 1</t>
  </si>
  <si>
    <t>T17.1  Phát hành production</t>
  </si>
  <si>
    <t>Nếu Play đã cấp quyền. Theo dõi lỗi 48 giờ đầu; có người trực.</t>
  </si>
  <si>
    <t>App công khai trên cửa hàng</t>
  </si>
  <si>
    <t>T17.2  Trang cửa hàng (ASO cơ bản)</t>
  </si>
  <si>
    <t>Tiêu đề có từ khoá («hộ chiếu du lịch»); mô tả ngắn = slogan v1; 8 ảnh màn hình có con dấu; biểu tượng có hình khoá. Kiểm lại trên điện thoại thật.</t>
  </si>
  <si>
    <t>TT · TN</t>
  </si>
  <si>
    <t>Trang cửa hàng cập nhật + ảnh chụp</t>
  </si>
  <si>
    <t>T17.3  Chiến dịch trường tuần 1</t>
  </si>
  <si>
    <t>Đăng ở 5 nhóm/CLB theo kế hoạch; mỗi bài có link hoặc mã riêng; mở rộng nhóm chat cohort; mục tiêu +30. Ghi nguồn từng người.</t>
  </si>
  <si>
    <t>Bảng cohort +30 có cột nguồn</t>
  </si>
  <si>
    <t>T17.4  Chuẩn bị đối tác mùa xuân</t>
  </si>
  <si>
    <t>Liên hệ lại 3 đối tác: ưu đãi T23–T30 (sau Tết); hỏi thêm 2 điểm mới; chuẩn bị sticker con dấu đối tác từ bộ hình v1.</t>
  </si>
  <si>
    <t>3 đối tác xác nhận lịch mùa xuân</t>
  </si>
  <si>
    <t>T17.5  Thêm cột quay lại 30 ngày</t>
  </si>
  <si>
    <t>Tính cho cohort T9–T10 (đã đủ 30 ngày).</t>
  </si>
  <si>
    <t>Số quay lại 30 ngày đầu tiên trong bảng số</t>
  </si>
  <si>
    <t>T18.1  Nội dung 3 bài/tuần × 2 kênh</t>
  </si>
  <si>
    <t>Lịch 6 tuần: chủ đề theo top 3 nỗi đau + con dấu; 15–30 giây; theo dõi xem và cài theo kênh. K sơ bộ = số người «biết qua bạn/chia sẻ» / tổng người mới.</t>
  </si>
  <si>
    <t>Bảng nội dung tuần + K sơ bộ</t>
  </si>
  <si>
    <t>T18.2  Tính năng 1</t>
  </si>
  <si>
    <t>Theo danh mục T14; đo theo cách đã định sẵn.</t>
  </si>
  <si>
    <t>Ra mắt + số đo bắt đầu chạy</t>
  </si>
  <si>
    <t>T18.3  Gọi thử từng số hotline</t>
  </si>
  <si>
    <t>Gọi từng số trong bảng khẩn cấp tỉnh: có người nghe? giờ nào? hỗ trợ gì. Số không nghe thì bỏ hoặc ghi chú. Xác minh bệnh viện: địa chỉ, có cấp cứu 24/7 không. Kết quả → nội dung trang khẩn cấp v1 (SP nhận).</t>
  </si>
  <si>
    <t>Bảng hotline có cột «đã gọi ngày» — chỉ số đã gọi thử mới đưa vào app</t>
  </si>
  <si>
    <t>T18.4  Chiến dịch trường tuần 2</t>
  </si>
  <si>
    <t>Như T17.</t>
  </si>
  <si>
    <t>Bảng cohort +30</t>
  </si>
  <si>
    <t>T19.1  Dòng tiền v2 + kinh tế đơn vị</t>
  </si>
  <si>
    <t>Tách chi biến đổi (đọc/ghi dữ liệu · lưu ảnh · lượt AI · lượt bản đồ) từ bảng điều khiển nhà cung cấp T9–T18 chia người hoạt động → đơn giá/người/tháng. Kịch bản 100/300/1.000 người. 3 kịch bản thu với giả định ghi rõ. CAC theo kênh = (giờ × giá giờ quy ước + tiền) / số kích hoạt.</t>
  </si>
  <si>
    <t>Sheet v2 + 1 trang đọc kết quả</t>
  </si>
  <si>
    <t>T19.2  Giá hộ chiếu in</t>
  </si>
  <si>
    <t>Hỏi 3 nhà in (bìa cứng, ~40 trang, khổ hộ chiếu): giá 100/300/500 cuốn · bao bì · vận chuyển nội thành và tỉnh · cộng chi phí thiết kế. Đặt 3 thẻ giá = giá vốn ×2, ×3, ×4 làm tròn; đối chiếu thẻ giá đã hỏi ở T9–T10.</t>
  </si>
  <si>
    <t>Bảng giá vốn + 3 thẻ giá — thử thật ở T25</t>
  </si>
  <si>
    <t>T19.3  Tính năng 2</t>
  </si>
  <si>
    <t>Theo danh mục T14.</t>
  </si>
  <si>
    <t>Ra mắt</t>
  </si>
  <si>
    <t>T19.4  Nội dung + chiến dịch tuần 3</t>
  </si>
  <si>
    <t>Như T17–T18.</t>
  </si>
  <si>
    <t>+30 người</t>
  </si>
  <si>
    <t>T20.1  Nội dung Tết</t>
  </si>
  <si>
    <t>3–4 nội dung lên lịch T21–T22: «về quê đóng dấu tỉnh nhà» (giả thuyết) · «Tết đi đâu quanh Hà Nội» · «34 tỉnh — bạn đã về mấy quê»; kêu gọi chia sẻ con dấu tỉnh nhà.</t>
  </si>
  <si>
    <t>Lịch đăng + ai đăng</t>
  </si>
  <si>
    <t>T20.2  Khảo sát Sean Ellis đợt 2</t>
  </si>
  <si>
    <t>Người vào T17–T18 đã đủ 2 tuần dùng; gửi khảo sát; so sánh với đợt 1.</t>
  </si>
  <si>
    <t>Kết quả đợt 2 + bảng so sánh — đầu vào cổng Q2</t>
  </si>
  <si>
    <t>T20.3  Tính năng 3 hoặc sửa lỗi</t>
  </si>
  <si>
    <t>T20.4  Đối tác dịp Tết</t>
  </si>
  <si>
    <t>Hỏi 3 đối tác mở/đóng ngày nào → cập nhật; xác nhận lại lịch ưu đãi T23–T30.</t>
  </si>
  <si>
    <t>Ghi chú lịch đối tác dịp Tết</t>
  </si>
  <si>
    <t>T20.5  Kế hoạch Tết cho nhóm</t>
  </si>
  <si>
    <t>T21–T22: ai gom số, ai trực lỗi; không họp hoặc họp 30'.</t>
  </si>
  <si>
    <t>T21.1  Gom số hằng ngày</t>
  </si>
  <si>
    <t>Sheet: mở app · con dấu · tỉnh được đóng · chia sẻ.</t>
  </si>
  <si>
    <t>Sheet 14 ngày (T21–T22)</t>
  </si>
  <si>
    <t>T21.2  Trực lỗi chặn</t>
  </si>
  <si>
    <t>Chỉ xử lý lỗi chặn.</t>
  </si>
  <si>
    <t>T21.3  Đăng theo lịch</t>
  </si>
  <si>
    <t>Nội dung Tết đã lên lịch ở T20.</t>
  </si>
  <si>
    <t>Link các bài đã đăng</t>
  </si>
  <si>
    <t>T21.4  Nghỉ</t>
  </si>
  <si>
    <t>Kết chu kỳ 3 dời sang T23.</t>
  </si>
  <si>
    <t>T22.1  Tiếp tục gom số + trực lỗi</t>
  </si>
  <si>
    <t>Như T21.</t>
  </si>
  <si>
    <t>Sheet số + bảng lỗi cập nhật</t>
  </si>
  <si>
    <t>T23.1  Kết chu kỳ 3</t>
  </si>
  <si>
    <t>(A) người hoạt động 1 trường so với 100–150; (B) 3 tính năng: số đo; (C) đối tác: số người dùng ưu đãi; trang khẩn cấp: số lượt mở.</t>
  </si>
  <si>
    <t>Biên bản kết C3</t>
  </si>
  <si>
    <t>T23.2  Tính quay lại 30 ngày</t>
  </si>
  <si>
    <t>Cohort T13–T17 → tỷ lệ; so với ngưỡng đặt ở T12; tách theo kênh và theo «quen/lạ».</t>
  </si>
  <si>
    <t>Bảng quay lại 30 ngày</t>
  </si>
  <si>
    <t>T23.3  Phân tích hành vi Tết</t>
  </si>
  <si>
    <t>5 dòng học được từ sheet Tết.</t>
  </si>
  <si>
    <t>ĐP · TT</t>
  </si>
  <si>
    <t>Ghi chú 5 dòng</t>
  </si>
  <si>
    <t>T23.4  5 + 5 phỏng vấn (ở lại / bỏ)</t>
  </si>
  <si>
    <t>5 người quay lại nhiều nhất: lần cuối mở để làm gì · bao lâu một lần · nếu mất thì thay bằng gì · đã kể cho ai. 5 người bỏ: như T13.</t>
  </si>
  <si>
    <t>10 tệp + docs/01_/dieu-giu-nguoi.md</t>
  </si>
  <si>
    <t>T23.5  Business.md 0.4</t>
  </si>
  <si>
    <t>Cập nhật mục 2, 4.2, 5 (dòng tiền v2), 8.6.</t>
  </si>
  <si>
    <t>Tệp 0.4</t>
  </si>
  <si>
    <t>T24.1  Họp cổng 2 giờ</t>
  </si>
  <si>
    <t>Tiêu chí 2→3: Sean Ellis ≥ 40% (đợt 2) · quay lại 30 ngày ≥ ngưỡng · ≥ 100 người hoạt động · biết chi phí/người. Ba lối ra. Ra ADR. Rà ghế.</t>
  </si>
  <si>
    <t>Biên bản cổng Q2 + ADR</t>
  </si>
  <si>
    <t>T24.2  ADR pháp nhân</t>
  </si>
  <si>
    <t>Quyết định lập DN trong Q3 vì chuẩn bị bật thu (affiliate T28, hộ chiếu in T33) và ngưỡng mạng xã hội. Chốt: loại hình (đề xuất TNHH hai thành viên trở lên; cổ phần nếu định gọi vốn trong 12 tháng) · ai góp bao nhiêu (vốn điều lệ đủ chi 6 tháng cố định) · tên có «Levart» · địa chỉ · người đại diện.</t>
  </si>
  <si>
    <t>ĐP · TN</t>
  </si>
  <si>
    <t>ADR cửa một chiều có chữ ký</t>
  </si>
  <si>
    <t>T24.3  Chốt Rocks Q3</t>
  </si>
  <si>
    <t>Đề xuất: pháp nhân + kế toán chạy · doanh thu đầu &gt; 0 từ 2 dòng · K đo được · mạng thứ 2 khởi động.</t>
  </si>
  <si>
    <t>Rocks trong Phụ lục E</t>
  </si>
  <si>
    <t>T24.4  Bàn cược C4 (T25–T30)</t>
  </si>
  <si>
    <t>(A) đặt trước hộ chiếu in: ≥ X đăng ký trong 4 tuần; (B) ghép nhóm đi chung thủ công 1 chuyến 6–8 người; (C) affiliate: đo lượt bấm (chưa nhận tiền) + nội dung 1 kênh thắng 3 bài/tuần.</t>
  </si>
  <si>
    <t>3 thẻ cược C4</t>
  </si>
  <si>
    <t>C4  ·  CHU KỲ 4 — Pháp nhân &amp; doanh thu đầu tiên</t>
  </si>
  <si>
    <t>T25.1  Trang đặt trước hộ chiếu in</t>
  </si>
  <si>
    <t>Trang tĩnh: ảnh hộ chiếu in mẫu (dựng từ thiết kế), giá thật (thẻ chọn từ T19), nút «đăng ký nhận khi có» (form: tên · SĐT · tỉnh đã đi) — KHÔNG thu tiền vì chưa có DN. Nút trong app dẫn tới trang. Đo lượt xem và lượt đăng ký theo ngày.</t>
  </si>
  <si>
    <t>Trang live + bảng số theo ngày</t>
  </si>
  <si>
    <t>T25.2  Hồ sơ doanh nghiệp</t>
  </si>
  <si>
    <t>Với luật sư/dịch vụ đăng ký: giấy đề nghị · điều lệ · danh sách thành viên · CCCD · địa chỉ · mã ngành (KHÔNG đăng ký điều hành tour) · kiểm tên trên Cổng đăng ký. Rà đủ để nộp T26.</t>
  </si>
  <si>
    <t>Bộ hồ sơ đủ, đã rà</t>
  </si>
  <si>
    <t>T25.3  Mời chuyến đi chung thủ công</t>
  </si>
  <si>
    <t>6–8 người quen-của-quen chưa biết nhau, cùng đầu cầu; chuyến 2 ngày cuối tuần T27 tới tỉnh mục tiêu; lập nhóm chat. Levart chỉ GIỚI THIỆU + gợi lịch trình từ app; họ tự đặt, tự trả. VH đi cùng quan sát (trả phần mình). Chuẩn bị bảng quan sát.</t>
  </si>
  <si>
    <t>6–8 người xác nhận, ngày chốt — kết nối, KHÔNG tổ chức (tránh kinh doanh lữ hành)</t>
  </si>
  <si>
    <t>T25.4  Cơ chế chia sẻ con dấu / mời bạn</t>
  </si>
  <si>
    <t>Nếu chưa có: link chia sẻ có mã người mời; đo nguồn cài từ link.</t>
  </si>
  <si>
    <t>Ra mắt + đo được nguồn</t>
  </si>
  <si>
    <t>T26.1  Nộp hồ sơ doanh nghiệp</t>
  </si>
  <si>
    <t>Nộp trực tuyến hoặc qua dịch vụ; theo dõi. Khi có giấy chứng nhận: khắc dấu · chữ ký số · tài khoản ngân hàng DN · đăng ký thuế ban đầu (kế toán hướng dẫn).</t>
  </si>
  <si>
    <t>GCN hoặc trạng thái hồ sơ có ngày</t>
  </si>
  <si>
    <t>T26.2  3 báo giá kế toán dịch vụ</t>
  </si>
  <si>
    <t>Tiêu chí: kinh nghiệm DN công nghệ/TMĐT · hoá đơn điện tử · phí/tháng · phản hồi ≤ 24 giờ · cam kết hạn kê khai. Chọn tại họp tuần.</t>
  </si>
  <si>
    <t>Bảng 3 dòng + quyết định</t>
  </si>
  <si>
    <t>T26.3  Chuẩn bị affiliate đứng tên DN</t>
  </si>
  <si>
    <t>Điền sẵn hồ sơ 2 chương trình (lưu trú, vé); chờ GCN; đọc quy tắc đặt link trong app.</t>
  </si>
  <si>
    <t>Hồ sơ sẵn chờ GCN</t>
  </si>
  <si>
    <t>T26.4  Đo hệ số mời K</t>
  </si>
  <si>
    <t>K = số cài từ link mời / số người hoạt động đã gửi link; ghi theo tuần.</t>
  </si>
  <si>
    <t>Cột K trong bảng số</t>
  </si>
  <si>
    <t>T26.5  Danh sách 10 creator</t>
  </si>
  <si>
    <t>Tiêu chí: 1–10 nghìn người theo dõi · đăng du lịch nội địa đều · tinh thần «đi đủ» · phản hồi thật. Nguồn: cohort, tìm hashtag tỉnh. Bảng: tên · kênh · follower · nội dung điển hình · liên hệ · đề xuất đổi (hộ chiếu in mẫu + khung + sticker). Nhắn 5 người.</t>
  </si>
  <si>
    <t>10 dòng, 5 đã nhắn — ĐỔI SẢN PHẨM, không trả tiền</t>
  </si>
  <si>
    <t>T27.1  Quan sát chuyến đi chung</t>
  </si>
  <si>
    <t>TRƯỚC: câu họ hỏi nhau, thời gian chat trước khi đồng ý. TRONG: ai dẫn, xung đột gì, chia chi phí thế nào. SAU: có hẹn đi tiếp không, đánh giá nhau. Phỏng vấn nhanh 5 người sau chuyến: điều kiện để đi lại với người lạ.</t>
  </si>
  <si>
    <t>Tệp ghi chép + 5 phỏng vấn — đầu vào ADR T31</t>
  </si>
  <si>
    <t>T27.2  Kế toán vào việc</t>
  </si>
  <si>
    <t>Ký hợp đồng; giao GCN, điều lệ, tài khoản; đăng ký hoá đơn điện tử; kê khai ban đầu; chuyển sổ quỹ sang bảng kế toán. Quy ước: mọi chi có hoá đơn/chứng từ; lịch gửi chứng từ hằng tháng. Hỏi điều kiện và cách ghi nhận miễn thuế TNDN 3 năm.</t>
  </si>
  <si>
    <t>Hợp đồng + lịch làm việc hằng tháng</t>
  </si>
  <si>
    <t>T27.3  5 creator nhận sản phẩm và đăng</t>
  </si>
  <si>
    <t>Gửi hộ chiếu in mẫu/khung/sticker; hướng dẫn 1 trang: nội dung tự do nhưng phải có con dấu + link; xin phép dùng lại nội dung. Theo dõi bài.</t>
  </si>
  <si>
    <t>5 bài đã lên, có link</t>
  </si>
  <si>
    <t>T27.4  Đặt trước tuần 3</t>
  </si>
  <si>
    <t>Đếm số đăng ký; nếu chậm thì đổi ảnh hoặc giá trên trang (A/B đơn giản, mỗi lần 1 biến).</t>
  </si>
  <si>
    <t>Bảng số đặt trước</t>
  </si>
  <si>
    <t>T27.5  Nội dung kênh thắng</t>
  </si>
  <si>
    <t>3 bài/tuần.</t>
  </si>
  <si>
    <t>T28.1  Hồ sơ mạng xã hội</t>
  </si>
  <si>
    <t>Cùng người hiểu luật: kiểm số người dùng thường xuyên/tháng và lượt truy cập. DƯỚI ngưỡng: nộp thông báo nếu luật sư xác nhận cần (hồ sơ: DN, tên miền, mô tả dịch vụ, quy chế). TIẾN GẦN ngưỡng: chuẩn bị hồ sơ giấy phép (nhân sự, kỹ thuật, quy trình kiểm duyệt).</t>
  </si>
  <si>
    <t>Biên nhận hoặc kế hoạch giấy phép có hạn</t>
  </si>
  <si>
    <t>T28.2  Chính sách xác thực số điện thoại</t>
  </si>
  <si>
    <t>Khách ẩn danh: CHỈ XEM. Đăng bài/bình luận: phải xác thực SĐT. Công bố trong điều khoản; SP triển khai theo status.md.</t>
  </si>
  <si>
    <t>Điều khoản cập nhật + tính năng lên lịch</t>
  </si>
  <si>
    <t>T28.3  Bật link affiliate</t>
  </si>
  <si>
    <t>Tài khoản DN được duyệt → đặt link trong màn gợi ý lưu trú/vé cho tỉnh mục tiêu (2 dịch vụ); gắn nhãn «liên kết đối tác» minh bạch; đo bấm → đặt qua báo cáo chương trình.</t>
  </si>
  <si>
    <t>Link sống + cột bấm/đặt trong bảng số</t>
  </si>
  <si>
    <t>T28.4  Creator tuần 2 · đặt trước tuần 4</t>
  </si>
  <si>
    <t>Tiếp tục theo T26–T27.</t>
  </si>
  <si>
    <t>T29.1  Bảng số + dòng tiền v3</t>
  </si>
  <si>
    <t>K (T26–T29) · bấm → đặt affiliate · doanh thu affiliate ước tính từ báo cáo chương trình · số đăng ký hộ chiếu. Thay giả định trong v2 bằng số thật.</t>
  </si>
  <si>
    <t>Sheet dòng tiền v3</t>
  </si>
  <si>
    <t>T29.2  Quyết định lô in 1</t>
  </si>
  <si>
    <t>Quy tắc: in nếu đăng ký ≥ mức tối thiểu nhà in (100?) hoặc nhóm chấp nhận tồn ≤ 30%. Chọn nhà in, ký báo giá, lịch giao T33. Chuẩn bị thu tiền qua DN (chuyển khoản/ví, hoá đơn).</t>
  </si>
  <si>
    <t>ADR lô 1 + hợp đồng in, hoặc quyết định hoãn có lý do</t>
  </si>
  <si>
    <t>T29.3  Đối tác tỉnh 2</t>
  </si>
  <si>
    <t>Chọn tỉnh 2 theo dữ liệu nơi cohort đóng dấu nhiều thứ 2; lập 10 tên; gọi 5 theo kịch bản T3 (lần này có kết quả tỉnh 1 để kể).</t>
  </si>
  <si>
    <t>Bảng 10 + 5 ghi chú cuộc gọi</t>
  </si>
  <si>
    <t>T29.4  Nội dung</t>
  </si>
  <si>
    <t>3 bài/tuần kênh thắng.</t>
  </si>
  <si>
    <t>T30.1  Đặt in lô 1</t>
  </si>
  <si>
    <t>Duyệt bản in thử, sửa, xác nhận; chốt lịch giao T33.</t>
  </si>
  <si>
    <t>TN · VH</t>
  </si>
  <si>
    <t>Đơn in đã đặt</t>
  </si>
  <si>
    <t>T30.2  Thử ưu đãi mời bạn</t>
  </si>
  <si>
    <t>2 tuần: người mời được khung/sticker khi bạn mình đóng dấu đầu; đo K trước và sau.</t>
  </si>
  <si>
    <t>Thiết lập + số nền để so sánh</t>
  </si>
  <si>
    <t>T30.3  Kết 3 cược C4</t>
  </si>
  <si>
    <t>(A) số đăng ký so mục tiêu; (B) chuyến đi chung: học được gì; (C) affiliate bấm/đặt; kênh thắng số bao nhiêu.</t>
  </si>
  <si>
    <t>Biên bản kết C4</t>
  </si>
  <si>
    <t>T30.4  Sửa lỗi</t>
  </si>
  <si>
    <t>T31.1  Kết luận people connection</t>
  </si>
  <si>
    <t>Dữ liệu: phỏng vấn lần 1 (ai muốn), lần 2 (điều kiện), chuyến #1 (thực tế), giờ VH đã bỏ ra. 3 lựa chọn: (1) làm tính năng — điều kiện tối thiểu: xác thực SĐT, hồ sơ, bạn chung, báo cáo/chặn, nhóm cùng giới, chia sẻ vị trí; (2) dịch vụ thủ công 1 chuyến/tháng; (3) đỗ lại.</t>
  </si>
  <si>
    <t>ALL (VH trình)</t>
  </si>
  <si>
    <t>ADR ghép nhóm</t>
  </si>
  <si>
    <t>T31.2  Business.md 0.5</t>
  </si>
  <si>
    <t>Mục 5 với số thật (bấm, đặt, đăng ký), mục 6.5 kết luận, mục 8.6.</t>
  </si>
  <si>
    <t>Tệp 0.5</t>
  </si>
  <si>
    <t>T31.3  Rà sổ rủi ro Q3</t>
  </si>
  <si>
    <t>Thêm: kê khai trễ · hoa hồng bị giữ · hàng in lỗi · đối tác thất hứa; chấm điểm lại toàn bộ.</t>
  </si>
  <si>
    <t>Sổ rủi ro cập nhật</t>
  </si>
  <si>
    <t>T31.4  Bù giờ</t>
  </si>
  <si>
    <t>Tuần nguội.</t>
  </si>
  <si>
    <t>T32.1  Bàn cược C5 (T33–T38)</t>
  </si>
  <si>
    <t>(A) mạng nguyên tử 2: trường 2 (hoặc tỉnh 2 theo nguồn cầu) — 100 người trong 6 tuần, đo thời gian; (B) giao lô 1 + hài lòng ≥ 8/10 + nội dung mở hộp từ khách; (C) mời bạn trong app + creator 10–20; (D) theo ADR T31. Kiểm điểm Rocks Q3.</t>
  </si>
  <si>
    <t>3–4 thẻ cược C5</t>
  </si>
  <si>
    <t>T32.2  Kế hoạch trường 2</t>
  </si>
  <si>
    <t>Lặp lại kế hoạch T16: CLB, nhóm, MỘT đại sứ trong trường 2; ngày bắt đầu T34.</t>
  </si>
  <si>
    <t>Kế hoạch trường 2</t>
  </si>
  <si>
    <t>T32.3  Chuẩn bị giao hàng</t>
  </si>
  <si>
    <t>Danh sách đăng ký → xác nhận mua (giá, cách trả, địa chỉ); phương thức giao (gặp tại trường / ship); hoá đơn qua kế toán.</t>
  </si>
  <si>
    <t>Danh sách đơn xác nhận</t>
  </si>
  <si>
    <t>C5  ·  CHU KỲ 5 — Mạng nguyên tử thứ 2</t>
  </si>
  <si>
    <t>T33.1  Giao hộ chiếu in</t>
  </si>
  <si>
    <t>Giao trực tiếp hoặc ship; tiền vào tài khoản DN; kế toán xuất hoá đơn. Ghi từng đơn: ngày giao · phản hồi · ảnh (xin phép).</t>
  </si>
  <si>
    <t>Bảng đơn hoàn tất</t>
  </si>
  <si>
    <t>T33.2  Kê khai thuế kỳ đầu</t>
  </si>
  <si>
    <t>Cùng kế toán: GTGT, TNDN tạm tính quý; kiểm việc ghi nhận miễn TNDN; đối chiếu chứng từ; nộp đúng hạn (kế toán xác nhận hạn).</t>
  </si>
  <si>
    <t>Tờ khai + biên nhận</t>
  </si>
  <si>
    <t>T33.3  Rà Luật Thương mại điện tử</t>
  </si>
  <si>
    <t>30' với người hiểu luật: bán hộ chiếu trong app (Levart là người bán trên nền tảng của mình) khác gì bán qua sàn — nghĩa vụ thông tin, hoá đơn, đổi trả; link affiliate có phải nền tảng trung gian không.</t>
  </si>
  <si>
    <t>Ghi chú pháp lý</t>
  </si>
  <si>
    <t>T33.4  Nội dung mở hộp</t>
  </si>
  <si>
    <t>Xin 5 khách quay video hoặc chụp ảnh; đăng; đo hiệu quả.</t>
  </si>
  <si>
    <t>Link nội dung mở hộp</t>
  </si>
  <si>
    <t>T34.1  Chiến dịch trường 2</t>
  </si>
  <si>
    <t>Làm y như trường 1: đại sứ đăng 5 nhóm, link riêng; đo ngày đạt 30/60/100 người; so sánh với trường 1.</t>
  </si>
  <si>
    <t>Bảng tiến độ theo ngày</t>
  </si>
  <si>
    <t>T34.2  3 đối tác tỉnh 2 lên app</t>
  </si>
  <si>
    <t>Ưu đãi hoặc con dấu đối tác; sticker; hướng dẫn 1 trang.</t>
  </si>
  <si>
    <t>3 đối tác hoạt động</t>
  </si>
  <si>
    <t>T34.3  Mời bạn trong app — đo K</t>
  </si>
  <si>
    <t>Cột K cập nhật</t>
  </si>
  <si>
    <t>T34.4  Bảng số tách 2 mạng</t>
  </si>
  <si>
    <t>Kích hoạt, quay lại, K theo từng mạng.</t>
  </si>
  <si>
    <t>Bảng số tách mạng 1 / mạng 2</t>
  </si>
  <si>
    <t>T35.1  Creator đợt 2 (10–20 người)</t>
  </si>
  <si>
    <t>Chọn từ danh sách + người tự đến. Hợp đồng ngắn 1 trang: đổi sản phẩm · nội dung có con dấu + link · quyền dùng lại · không cam kết số · không trả tiền. Gửi hàng; lịch đăng tháng 6–7.</t>
  </si>
  <si>
    <t>Hợp đồng mẫu + số người đã ký</t>
  </si>
  <si>
    <t>T35.2  Kế hoạch mùa hè</t>
  </si>
  <si>
    <t>Mùa cao điểm T41–T46: chủ đề (biển, núi mát); tỉnh 3 theo dữ liệu cohort; 10 đối tác tỉnh 3; lịch nội dung; mục tiêu người hoạt động ×2.</t>
  </si>
  <si>
    <t>TT · VH</t>
  </si>
  <si>
    <t>Kế hoạch 2 trang</t>
  </si>
  <si>
    <t>T35.3  Dòng tiền v4</t>
  </si>
  <si>
    <t>Thêm doanh thu thật lô 1 và affiliate; chi phí kế toán và DN; cập nhật kịch bản.</t>
  </si>
  <si>
    <t>Sheet v4</t>
  </si>
  <si>
    <t>T35.4  Hồ sơ cuộc thi (nháp)</t>
  </si>
  <si>
    <t>Tra lịch Techfest, cuộc thi khởi nghiệp của trường, quỹ sinh viên — điều kiện, hạn (cần kiểm chứng). Nháp 1 trang theo khung 10 slide. Quyết định nộp ở T48.</t>
  </si>
  <si>
    <t>Bảng 3–5 cuộc thi + hồ sơ nháp</t>
  </si>
  <si>
    <t>T36.1  Họp cổng 2 giờ</t>
  </si>
  <si>
    <t>Tiêu chí 3→4: K qua 3 chu kỳ (C3→C5) · doanh thu từ ≥ 2 dòng · LTV/CAC ước tính · pháp nhân, mạng xã hội, kế toán chạy ổn. Ra ADR. Chốt Rocks Q4: MỘT kênh (số cao nhất), MỘT dòng thu chính (biên × quy mô), kèm mục tiêu số. Rà ghế.</t>
  </si>
  <si>
    <t>Biên bản cổng Q3 + Rocks Q4</t>
  </si>
  <si>
    <t>T36.2  Cập nhật Phụ lục E · so sánh đối thủ</t>
  </si>
  <si>
    <t>T37.1  Khảo sát người mua</t>
  </si>
  <si>
    <t>Form 5 câu: điểm 1–10 · thích nhất · thiếu gì · mua lại hoặc tặng? · giới thiệu cho ai. Gọi 5 người cho điểm thấp.</t>
  </si>
  <si>
    <t>Kết quả + 5 ghi chú cuộc gọi</t>
  </si>
  <si>
    <t>T37.2  Duy trì nội dung</t>
  </si>
  <si>
    <t>1 bài/tuần.</t>
  </si>
  <si>
    <t>T37.3  Bảng số</t>
  </si>
  <si>
    <t>T38.1  Kết cược C5</t>
  </si>
  <si>
    <t>Mạng 2 (số ngày đạt 100) · lô 1 (hài lòng, mua lại) · creator (cài/creator, giờ/creator) · mời bạn (K).</t>
  </si>
  <si>
    <t>Biên bản kết C5</t>
  </si>
  <si>
    <t>T38.2  Quyết định lô 2</t>
  </si>
  <si>
    <t>Dựa hài lòng + đăng ký mới + tồn kho; chốt số lượng; cải tiến từ câu «thiếu gì».</t>
  </si>
  <si>
    <t>ADR lô 2</t>
  </si>
  <si>
    <t>T38.3  Sửa lỗi</t>
  </si>
  <si>
    <t>T39.1  Business.md 0.6</t>
  </si>
  <si>
    <t>Mục 4.4 (creator/kênh), mục 5 (số thật 2 dòng thu), mục 8.6.</t>
  </si>
  <si>
    <t>Tệp 0.6</t>
  </si>
  <si>
    <t>T39.2  Rà pháp lý</t>
  </si>
  <si>
    <t>Người dùng thường xuyên/tháng và lượt truy cập so với ngưỡng mạng xã hội; ≥ 70% ngưỡng thì khởi động hồ sơ giấy phép. Hồ sơ đánh giá tác động dữ liệu cá nhân — trạng thái và thời hạn (hỏi luật). Điều khoản affiliate còn phù hợp không.</t>
  </si>
  <si>
    <t>Ghi chú + việc có hạn</t>
  </si>
  <si>
    <t>T39.3  Sổ rủi ro</t>
  </si>
  <si>
    <t>Sổ cập nhật</t>
  </si>
  <si>
    <t>T40.1  Bàn cược C6 (T41–T46)</t>
  </si>
  <si>
    <t>(A) hè: người hoạt động ×2 qua kênh thắng — theo kế hoạch T35; (B) B2B: 3 cuộc gặp tỉnh/trung tâm xúc tiến hoặc thương hiệu; (C) dòng thu chính: tối ưu chuyển đổi + đo LTV/CAC.</t>
  </si>
  <si>
    <t>3 thẻ cược C6</t>
  </si>
  <si>
    <t>T40.2  Dàn deck</t>
  </si>
  <si>
    <t>Dữ liệu cần chuẩn bị: người dùng, quay lại, con dấu theo tỉnh, doanh thu, ảnh. Khung 10 slide.</t>
  </si>
  <si>
    <t>Dàn deck</t>
  </si>
  <si>
    <t>T40.3  Lịch hè của nhóm</t>
  </si>
  <si>
    <t>Ai ở Hà Nội, ai về quê (về quê thì đóng dấu tỉnh nhà, tiếp cận đối tác tỉnh nhà).</t>
  </si>
  <si>
    <t>Lịch hè</t>
  </si>
  <si>
    <t>C6  ·  CHU KỲ 6 — Mùa hè &amp; B2B</t>
  </si>
  <si>
    <t>T41.1  Deck 10 slide</t>
  </si>
  <si>
    <t>Mục đích · vấn đề · giải pháp · vì sao bây giờ (135,5 triệu lượt nội địa 2025, Gen Z đi tự túc) · cỡ thị trường từ dưới lên · đối thủ · sản phẩm (ảnh) · mô hình (2 dòng thu có số) · đội ngũ · số liệu (kích hoạt, quay lại, K, doanh thu) · đề nghị (gói «thử thách con dấu tỉnh X»). Trình thử 10' trong nhóm.</t>
  </si>
  <si>
    <t>Deck PDF</t>
  </si>
  <si>
    <t>T41.2  10 đầu mối B2B</t>
  </si>
  <si>
    <t>Trung tâm xúc tiến du lịch tỉnh 1–3; 3 thương hiệu gắn với người trẻ đi du lịch. Liên hệ qua người quen hoặc cổng thông tin; soạn email mẫu.</t>
  </si>
  <si>
    <t>Bảng 10 đầu mối, 5 đã gửi</t>
  </si>
  <si>
    <t>T41.3  Chiến dịch hè bắt đầu</t>
  </si>
  <si>
    <t>Theo kế hoạch T35; ghi số theo ngày.</t>
  </si>
  <si>
    <t>Bảng số theo ngày</t>
  </si>
  <si>
    <t>T41.4  Đối tác tỉnh 3</t>
  </si>
  <si>
    <t>10 tên, gọi 5.</t>
  </si>
  <si>
    <t>Bảng 10 + 5 ghi chú</t>
  </si>
  <si>
    <t>T41.5  Bảo hiểm — hỏi 2 hãng</t>
  </si>
  <si>
    <t>Hãng có bán online: chương trình giới thiệu (affiliate) hay đại lý tổ chức; điều kiện; hoa hồng. Người hiểu luật xác nhận TRƯỚC khi ký đại lý (ngành có điều kiện).</t>
  </si>
  <si>
    <t>VH · ĐP</t>
  </si>
  <si>
    <t>Bảng 2 dòng + ghi chú luật</t>
  </si>
  <si>
    <t>T42.1  3 cuộc gặp B2B</t>
  </si>
  <si>
    <t>30': 5' nghe họ · 10' trình deck · 15' hỏi: họ đo thành công bằng gì (lượt khách? nội dung? ảnh?) · ngân sách và quy trình duyệt · chu kỳ · ai quyết. Đề xuất thử nhỏ (1 tháng, 1 thử thách).</t>
  </si>
  <si>
    <t>3 ghi chú + bước kế tiếp</t>
  </si>
  <si>
    <t>T42.2  Đo hè tuần 2</t>
  </si>
  <si>
    <t>Kích hoạt/ngày theo kênh.</t>
  </si>
  <si>
    <t>TT · ĐP</t>
  </si>
  <si>
    <t>Bảng số</t>
  </si>
  <si>
    <t>T42.3  Creator đăng bài</t>
  </si>
  <si>
    <t>Theo lịch T35.</t>
  </si>
  <si>
    <t>T43.1  A/B thông điệp «lợi ích &gt; tiền»</t>
  </si>
  <si>
    <t>2 phiên bản màn gợi ý đối tác/hộ chiếu: (A) mô tả tính năng; (B) «chuyến này bạn tiết kiệm X giờ / Y đồng / +N con dấu». Chia đôi cohort mới; đo bấm và mua trong 2 tuần.</t>
  </si>
  <si>
    <t>TT · SP</t>
  </si>
  <si>
    <t>Thiết lập A/B + số nền</t>
  </si>
  <si>
    <t>T43.2  Lô in 2</t>
  </si>
  <si>
    <t>Đặt theo ADR T38 kèm cải tiến.</t>
  </si>
  <si>
    <t>Đơn in lô 2</t>
  </si>
  <si>
    <t>T43.3  Chiến dịch hè tuần 3</t>
  </si>
  <si>
    <t>T44.1  Quy trình hỗ trợ khách hàng</t>
  </si>
  <si>
    <t>Kênh (email + chat trong app) · phân loại (lỗi / thanh toán / nội dung xấu / an toàn) · thời gian phản hồi (24 giờ; an toàn: ngay) · mẫu trả lời 10 tình huống · leo thang cho ai · ghi vào bảng. FAQ 20 câu từ câu hỏi thật T9–T43.</t>
  </si>
  <si>
    <t>Tệp quy trình + FAQ công khai trên trang tĩnh</t>
  </si>
  <si>
    <t>T44.2  Rà sự cố mùa hè</t>
  </si>
  <si>
    <t>Thu từ cohort và creator: đuối nước, say nắng, xe, giá; cập nhật trang khẩn cấp + cảnh báo theo mùa.</t>
  </si>
  <si>
    <t>Bảng ngoại lệ cập nhật</t>
  </si>
  <si>
    <t>T44.3  Chiến dịch hè tuần 4</t>
  </si>
  <si>
    <t>T45.1  Đề xuất B2B</t>
  </si>
  <si>
    <t>1 trang cho đầu mối quan tâm nhất: phạm vi (thử thách con dấu 5 điểm ở tỉnh X, 4 tuần) · cam kết (báo cáo, KHÔNG cam kết kết quả) · giá. Hợp đồng dịch vụ quảng cáo qua DN (kế toán và luật rà).</t>
  </si>
  <si>
    <t>Đề xuất đã gửi hoặc hợp đồng</t>
  </si>
  <si>
    <t>T45.2  Thuế quý</t>
  </si>
  <si>
    <t>Cùng kế toán.</t>
  </si>
  <si>
    <t>Tờ khai</t>
  </si>
  <si>
    <t>T45.3  Dòng tiền v5</t>
  </si>
  <si>
    <t>LTV = ARPU thật × thời gian sống ước tính (từ quay lại); CAC theo kênh (giờ + tiền); LTV/CAC; tháng hoà vốn hạ tầng + kế toán.</t>
  </si>
  <si>
    <t>Sheet v5 + 1 trang đọc kết quả</t>
  </si>
  <si>
    <t>T46.1  Kết cược C6</t>
  </si>
  <si>
    <t>Hè ×2? · B2B: có hợp đồng? · A/B: kết quả · LTV/CAC theo kênh.</t>
  </si>
  <si>
    <t>Biên bản kết C6</t>
  </si>
  <si>
    <t>T46.2  Bài học hè</t>
  </si>
  <si>
    <t>1 trang bài học</t>
  </si>
  <si>
    <t>T47.1  Business.md 0.7</t>
  </si>
  <si>
    <t>Mục 5 hoàn chỉnh với số 12 tháng; mục 4.4; mục 6; mục 7 cập nhật.</t>
  </si>
  <si>
    <t>Tệp 0.7</t>
  </si>
  <si>
    <t>T47.2  Sổ rủi ro · giấy phép MXH · hồ sơ dữ liệu</t>
  </si>
  <si>
    <t>Ghi trạng thái từng mục.</t>
  </si>
  <si>
    <t>Ghi chú trạng thái</t>
  </si>
  <si>
    <t>T47.3  Bảng tiêu chí cổng Q4</t>
  </si>
  <si>
    <t>Chuẩn bị tiêu chí và số SẴN trước buổi cổng, không tính trong buổi.</t>
  </si>
  <si>
    <t>Bảng tiêu chí có số</t>
  </si>
  <si>
    <t>T48.1  Họp cổng 2 giờ</t>
  </si>
  <si>
    <t>Tiêu chí 4→5. Bốn lối: gọi vốn (deck + 10 quỹ/angel + cuộc thi) · thi · tự nuôi (doanh thu ≥ chi phí, tăng chậm) · dừng (bàn giao tài sản). Ra ADR. Chốt Rocks «quý 5». Rà ghế.</t>
  </si>
  <si>
    <t>Biên bản + ADR</t>
  </si>
  <si>
    <t>C7  ·  CHU KỲ 7 — Tổng kết năm 1</t>
  </si>
  <si>
    <t>T49.1  Theo ADR T48</t>
  </si>
  <si>
    <t>Gọi vốn hoặc thi: deck cập nhật + data room (số, pháp lý, thoả thuận). Tự nuôi: dòng tiền v6 cho 12 tháng tới.</t>
  </si>
  <si>
    <t>Hồ sơ hoặc sheet v6</t>
  </si>
  <si>
    <t>T49.2  Kiểm kê tài sản tổ chức</t>
  </si>
  <si>
    <t>Dữ liệu địa điểm bản địa · bộ con dấu · quan hệ đối tác (số lượng, tỉnh) · thư viện nội dung · cộng đồng (người hoạt động) · nhãn hiệu · pháp nhân · quy trình đã viết.</t>
  </si>
  <si>
    <t>Bảng tài sản có số</t>
  </si>
  <si>
    <t>T50.1  6 trang tổng kết L1–L6</t>
  </si>
  <si>
    <t>Một trang mỗi lớp (Business.md mục 1): đã học gì, số nào, sai gì.</t>
  </si>
  <si>
    <t>6 tệp tổng kết</t>
  </si>
  <si>
    <t>T50.2  Phỏng vấn 10 người dùng lâu nhất</t>
  </si>
  <si>
    <t>Vì sao ở lại 6+ tháng · đã kể cho ai · muốn gì ở năm 2.</t>
  </si>
  <si>
    <t>10 tệp</t>
  </si>
  <si>
    <t>T51.1  Business.md 1.0</t>
  </si>
  <si>
    <t>Viết lại từ bằng chứng; mục 2 không còn (GT).</t>
  </si>
  <si>
    <t>Tệp 1.0</t>
  </si>
  <si>
    <t>T51.2  Kế hoạch giai đoạn 5 (năm 2)</t>
  </si>
  <si>
    <t>Tỉnh/trường mới (bao nhiêu) · nền tảng thứ 2 · sàn dịch vụ bản địa (cần pháp lý TMĐT/lữ hành) · người thứ 5–6 · ngân sách.</t>
  </si>
  <si>
    <t>Kế hoạch năm 2</t>
  </si>
  <si>
    <t>T52.1  Họp tổng kết</t>
  </si>
  <si>
    <t>Đọc 6 trang tổng kết; quyết định năm 2; chấm điểm năm. Sau đó nghỉ 1 tuần.</t>
  </si>
  <si>
    <t>Biên bản</t>
  </si>
  <si>
    <t>LEVART — CHÚ GIẢI, GHẾ TRÁCH NHIỆM &amp; TIẾN ĐỘ</t>
  </si>
  <si>
    <t>1 · CÁCH DÙNG TỆP NÀY</t>
  </si>
  <si>
    <t>Trang 00_Tổng quan</t>
  </si>
  <si>
    <t>Một dòng mỗi tuần (52 tuần) + dòng băng MỐC REVIEW sau mỗi chu kỳ và CỔNG QUÝ. Cột Trạng thái ở đây là ô TÍNH TỰ ĐỘNG từ các trang chu kỳ — không gõ tay.</t>
  </si>
  <si>
    <t>Trang C1…C7</t>
  </si>
  <si>
    <t>Mỗi trang là một chu kỳ 6 tuần làm + 2 tuần nguội. Mỗi tuần có một dòng băng (mục tiêu + cuối tuần biết được) rồi tới các đầu mục. Đây là nơi NHẬP trạng thái và ghi chú.</t>
  </si>
  <si>
    <t>Ô cần nhập</t>
  </si>
  <si>
    <t>Cột Trạng thái (chọn từ danh sách) · cột Ghi chú · ô vàng NGÀY BẮT ĐẦU TUẦN 1 ở trang Tổng quan (ô D4). Cột Mục đích ở trang chu kỳ để trống có chủ đích — tự điền mục đích riêng cho từng đầu mục.</t>
  </si>
  <si>
    <t>Dịch lịch</t>
  </si>
  <si>
    <t>Sửa ô vàng D4 ở trang Tổng quan là toàn bộ ngày của 52 tuần tự dịch theo. Không sửa tay từng ô ngày.</t>
  </si>
  <si>
    <t>Ô để trống</t>
  </si>
  <si>
    <t>Chỗ nào week_index.md chưa nói thì để trống, không điền bừa. Tự bổ sung khi có thông tin thật.</t>
  </si>
  <si>
    <t>Không bật bộ lọc</t>
  </si>
  <si>
    <t>Các trang có dòng gộp ngang (băng tuần, băng mốc) nên không bật AutoFilter. Dùng Ctrl+F để tìm.</t>
  </si>
  <si>
    <t>2 · GHẾ TRÁCH NHIỆM (xem ROLE.md)</t>
  </si>
  <si>
    <t>TN — Người cầm tầm nhìn</t>
  </si>
  <si>
    <t>Chiến lược, định vị, thương hiệu, quan hệ lớn, quyết định đổi hướng. Sở hữu Business.md và cổng quý.</t>
  </si>
  <si>
    <t>ĐP — Người điều phối</t>
  </si>
  <si>
    <t>Nhịp họp, bảng số, sổ quyết định, tiền, pháp lý, rủi ro, tổ chức. Ghế quyết định nhóm sống hay chết trong 12 tuần đầu.</t>
  </si>
  <si>
    <t>TT — Tăng trưởng</t>
  </si>
  <si>
    <t>Phỏng vấn khách hàng, cohort, cộng đồng, nội dung, kênh, lan truyền, creator.</t>
  </si>
  <si>
    <t>VH — Vận hành &amp; Đối tác</t>
  </si>
  <si>
    <t>Đối tác địa phương, an toàn và tình huống ngoại lệ, sản phẩm vật lý, chăm sóc khách hàng.</t>
  </si>
  <si>
    <t>SP — Sản phẩm</t>
  </si>
  <si>
    <t>Sản phẩm sẵn sàng đúng lúc cho thí nghiệm, phễu đo, tuân thủ trong app. Lộ trình kỹ thuật nằm ở status.md.</t>
  </si>
  <si>
    <t>Cả nhóm cùng làm — giai đoạn 1 thì ai cũng đi phỏng vấn khách hàng.</t>
  </si>
  <si>
    <t>3 · TRẠNG THÁI</t>
  </si>
  <si>
    <t>Mặc định.</t>
  </si>
  <si>
    <t>Đang làm</t>
  </si>
  <si>
    <t>Đã có người bắt tay vào.</t>
  </si>
  <si>
    <t>Xong</t>
  </si>
  <si>
    <t>Có BẰNG CHỨNG: tệp trong docs/, số đo, ảnh chụp. «Đã làm rồi» không tính là xong.</t>
  </si>
  <si>
    <t>Cắt</t>
  </si>
  <si>
    <t>Cắt khỏi chu kỳ khi hết khẩu vị thời gian — ghi lý do ở cột Ghi chú, không gia hạn.</t>
  </si>
  <si>
    <t>Tạm hoãn</t>
  </si>
  <si>
    <t>Chờ điều kiện bên ngoài (giấy tờ, đối tác, mùa).</t>
  </si>
  <si>
    <t>4 · TIẾN ĐỘ THEO CHU KỲ</t>
  </si>
  <si>
    <t>Chu kỳ</t>
  </si>
  <si>
    <t>Phạm vi</t>
  </si>
  <si>
    <t>Tổng</t>
  </si>
  <si>
    <t>% xong</t>
  </si>
  <si>
    <t>C1</t>
  </si>
  <si>
    <t>Tuần 01–08 · CHU KỲ 1 — Khám phá khách hàng</t>
  </si>
  <si>
    <t>C2</t>
  </si>
  <si>
    <t>Tuần 09–16 · CHU KỲ 2 — Cohort đầu tiên &amp; Cổng quý 1</t>
  </si>
  <si>
    <t>C3</t>
  </si>
  <si>
    <t>Tuần 17–24 · CHU KỲ 3 — Phát hành &amp; mở rộng trường 1</t>
  </si>
  <si>
    <t>C4</t>
  </si>
  <si>
    <t>Tuần 25–32 · CHU KỲ 4 — Pháp nhân &amp; doanh thu đầu tiên</t>
  </si>
  <si>
    <t>C5</t>
  </si>
  <si>
    <t>Tuần 33–40 · CHU KỲ 5 — Mạng nguyên tử thứ 2</t>
  </si>
  <si>
    <t>C6</t>
  </si>
  <si>
    <t>Tuần 41–48 · CHU KỲ 6 — Mùa hè &amp; B2B</t>
  </si>
  <si>
    <t>C7</t>
  </si>
  <si>
    <t>Tuần 49–52 · CHU KỲ 7 — Tổng kết năm 1</t>
  </si>
  <si>
    <t>TỔNG</t>
  </si>
  <si>
    <t>52 tuần · 5 giai đoạn</t>
  </si>
  <si>
    <t>5 · NĂM GIAI ĐOẠN — MỤC ĐÍCH &amp; CHỈ SỐ DUY NHẤT</t>
  </si>
  <si>
    <t>QUÝ 1 — GIAI ĐOẠN 1: THẤU CẢM</t>
  </si>
  <si>
    <t>Mục đích: Không xây thứ không ai cần. Chuyển «chúng tôi nghĩ» thành «30 người nói».
Chỉ số duy nhất: Số phỏng vấn có bài học.  ·  Tuần 01–12.</t>
  </si>
  <si>
    <t>QUÝ 2 — GIAI ĐOẠN 2: BÁM DÍNH</t>
  </si>
  <si>
    <t>Mục đích: Chứng minh sản phẩm giữ được người — không có bước này thì mọi đồng marketing đổ vào rổ thủng.
Chỉ số duy nhất: Quay lại sau 7 / 30 ngày.  ·  Tuần 13–24.</t>
  </si>
  <si>
    <t>QUÝ 3 — GIAI ĐOẠN 3: LAN TRUYỀN &amp; CHUẨN BỊ DOANH THU</t>
  </si>
  <si>
    <t>Mục đích: Chứng minh người dùng kéo người dùng, và tổ chức được phép thu tiền (pháp nhân, giấy phép).
Chỉ số duy nhất: Hệ số mời K; lượt bấm sang đối tác.  ·  Tuần 25–36.</t>
  </si>
  <si>
    <t>QUÝ 4 — GIAI ĐOẠN 4: DOANH THU</t>
  </si>
  <si>
    <t>Mục đích: Chứng minh mỗi người dùng có lời — tổ chức tự nuôi được.
Chỉ số duy nhất: LTV / CAC theo kênh.  ·  Tuần 37–48.</t>
  </si>
  <si>
    <t>TỔNG KẾT NĂM 1 → GIAI ĐOẠN 5: MỞ RỘNG</t>
  </si>
  <si>
    <t>Mục đích: Kết lại bằng bằng chứng và quyết định năm 2.
Chỉ số duy nhất: Tốc độ khởi động mạng mới.  ·  Tuần 49–52.</t>
  </si>
  <si>
    <t>6 · LƯU Ý VỀ DỮ LIỆU</t>
  </si>
  <si>
    <t>Nguồn</t>
  </si>
  <si>
    <t>Toàn bộ nội dung rút từ week_index.md (chi tiết 52 tuần), Business.md (chiến lược, pháp lý, chỉ số) và ROLE.md (ghế). Không thêm số liệu ngoài hai tệp đó.</t>
  </si>
  <si>
    <t>Ngày</t>
  </si>
  <si>
    <t>week_index.md giả định Tuần 1 bắt đầu thứ Hai 14/09/2026. Nếu buổi M1 diễn ra tuần khác, đổi ô vàng D4 ở trang Tổng quan.</t>
  </si>
  <si>
    <t>Mục tiêu số</t>
  </si>
  <si>
    <t>Mọi ngưỡng (30 phỏng vấn · 40% «rất thất vọng» · 100 người hoạt động · LTV ≥ 3×CAC) là ĐỀ XUẤT để nhóm chốt ở tuần 2, không phải chuẩn bắt buộc.</t>
  </si>
  <si>
    <t>Tuần đệm</t>
  </si>
  <si>
    <t>T15–T16 kỳ thi học kỳ 1 (ước đoán) · T21–T22 Tết Nguyên đán 2027 · T37–T40 kỳ thi học kỳ 2 (ước đoán) · T41–T46 nghỉ hè, chu kỳ nặng nhất. Đối chiếu lịch trường trước khi chốt.</t>
  </si>
  <si>
    <t>Phần chưa kiểm chứng</t>
  </si>
  <si>
    <t>Tên app đối thủ Việt Nam, điều kiện chương trình affiliate, lịch cuộc thi khởi nghiệp, mức phí nhãn hiệu — ghi trong week_index.md là «cần kiểm chứng», chưa điền vào đây.</t>
  </si>
  <si>
    <t>Quan hệ với tệp khác</t>
  </si>
  <si>
    <t>Business.md = vì sao và luật · ROLE.md = ai chịu trách nhiệm · week_index.md = văn bản chi tiết 52 tuần · tệp này = bảng theo dõi · status.md = kỹ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</si>
</sst>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0" x14ac:knownFonts="1">
    <font>
      <sz val="11"/>
      <color theme="1"/>
      <name val="Calibri"/>
      <family val="2"/>
      <scheme val="minor"/>
    </font>
    <font>
      <b/>
      <sz val="15"/>
      <color rgb="FFFFFFFF"/>
      <name val="Arial"/>
    </font>
    <font>
      <sz val="9"/>
      <color rgb="FF5A6B85"/>
      <name val="Arial"/>
    </font>
    <font>
      <b/>
      <sz val="12"/>
      <color rgb="FF0000FF"/>
      <name val="Arial"/>
    </font>
    <font>
      <b/>
      <sz val="8.5"/>
      <color rgb="FF5A6B85"/>
      <name val="Arial"/>
    </font>
    <font>
      <b/>
      <sz val="14"/>
      <color rgb="FF1F3864"/>
      <name val="Arial"/>
    </font>
    <font>
      <b/>
      <sz val="10"/>
      <color rgb="FFFFFFFF"/>
      <name val="Arial"/>
    </font>
    <font>
      <b/>
      <sz val="10"/>
      <color rgb="FF1F3864"/>
      <name val="Arial"/>
    </font>
    <font>
      <sz val="10"/>
      <color rgb="FF1A1A1A"/>
      <name val="Arial"/>
    </font>
    <font>
      <b/>
      <sz val="10"/>
      <color rgb="FF1A1A1A"/>
      <name val="Arial"/>
    </font>
    <font>
      <sz val="9"/>
      <color rgb="FF1A1A1A"/>
      <name val="Arial"/>
    </font>
    <font>
      <sz val="9.5"/>
      <color rgb="FF1A1A1A"/>
      <name val="Arial"/>
    </font>
    <font>
      <b/>
      <sz val="9.5"/>
      <color rgb="FF2E5496"/>
      <name val="Arial"/>
    </font>
    <font>
      <b/>
      <sz val="9.5"/>
      <color rgb="FF5A6B85"/>
      <name val="Arial"/>
    </font>
    <font>
      <b/>
      <sz val="9.5"/>
      <color rgb="FF1F3864"/>
      <name val="Arial"/>
    </font>
    <font>
      <b/>
      <sz val="9.5"/>
      <color rgb="FF7A5200"/>
      <name val="Arial"/>
    </font>
    <font>
      <b/>
      <sz val="15"/>
      <color rgb="FF1F3864"/>
      <name val="Arial"/>
    </font>
    <font>
      <b/>
      <sz val="11"/>
      <color rgb="FFFFFFFF"/>
      <name val="Arial"/>
    </font>
    <font>
      <b/>
      <sz val="9.5"/>
      <color rgb="FF1A1A1A"/>
      <name val="Arial"/>
    </font>
    <font>
      <b/>
      <sz val="9.5"/>
      <color rgb="FFFFFFFF"/>
      <name val="Arial"/>
    </font>
  </fonts>
  <fills count="15">
    <fill>
      <patternFill patternType="none"/>
    </fill>
    <fill>
      <patternFill patternType="gray125"/>
    </fill>
    <fill>
      <patternFill patternType="solid">
        <fgColor rgb="FF1F3864"/>
      </patternFill>
    </fill>
    <fill>
      <patternFill patternType="solid">
        <fgColor rgb="FFEEF3FA"/>
      </patternFill>
    </fill>
    <fill>
      <patternFill patternType="solid">
        <fgColor rgb="FFFFF2B2"/>
      </patternFill>
    </fill>
    <fill>
      <patternFill patternType="solid">
        <fgColor rgb="FFD6E4F7"/>
      </patternFill>
    </fill>
    <fill>
      <patternFill patternType="solid">
        <fgColor rgb="FFF5F8FD"/>
      </patternFill>
    </fill>
    <fill>
      <patternFill patternType="solid">
        <fgColor rgb="FFFFFFFF"/>
      </patternFill>
    </fill>
    <fill>
      <patternFill patternType="solid">
        <fgColor rgb="FFDCE6F5"/>
      </patternFill>
    </fill>
    <fill>
      <patternFill patternType="solid">
        <fgColor rgb="FFFFE9B8"/>
      </patternFill>
    </fill>
    <fill>
      <patternFill patternType="solid">
        <fgColor rgb="FFDCEBD4"/>
      </patternFill>
    </fill>
    <fill>
      <patternFill patternType="solid">
        <fgColor rgb="FFFDE7CD"/>
      </patternFill>
    </fill>
    <fill>
      <patternFill patternType="solid">
        <fgColor rgb="FFE3DAF0"/>
      </patternFill>
    </fill>
    <fill>
      <patternFill patternType="solid">
        <fgColor rgb="FFD5E8E4"/>
      </patternFill>
    </fill>
    <fill>
      <patternFill patternType="solid">
        <fgColor rgb="FF2E5496"/>
      </patternFill>
    </fill>
  </fills>
  <borders count="8">
    <border>
      <left/>
      <right/>
      <top/>
      <bottom/>
      <diagonal/>
    </border>
    <border>
      <left style="medium">
        <color rgb="FF2E5496"/>
      </left>
      <right style="medium">
        <color rgb="FF2E5496"/>
      </right>
      <top style="medium">
        <color rgb="FF2E5496"/>
      </top>
      <bottom style="medium">
        <color rgb="FF2E5496"/>
      </bottom>
      <diagonal/>
    </border>
    <border>
      <left style="thin">
        <color rgb="FF2E5496"/>
      </left>
      <right style="thin">
        <color rgb="FF2E5496"/>
      </right>
      <top style="thin">
        <color rgb="FFC9D4E5"/>
      </top>
      <bottom style="thin">
        <color rgb="FFC9D4E5"/>
      </bottom>
      <diagonal/>
    </border>
    <border>
      <left style="thin">
        <color rgb="FFC9D4E5"/>
      </left>
      <right style="thin">
        <color rgb="FFC9D4E5"/>
      </right>
      <top style="thin">
        <color rgb="FFC9D4E5"/>
      </top>
      <bottom style="thin">
        <color rgb="FFC9D4E5"/>
      </bottom>
      <diagonal/>
    </border>
    <border>
      <left style="thin">
        <color rgb="FFC9D4E5"/>
      </left>
      <right style="thin">
        <color rgb="FFC9D4E5"/>
      </right>
      <top/>
      <bottom/>
      <diagonal/>
    </border>
    <border>
      <left style="thin">
        <color rgb="FFC9D4E5"/>
      </left>
      <right style="thin">
        <color rgb="FFC9D4E5"/>
      </right>
      <top/>
      <bottom style="thin">
        <color rgb="FFC9D4E5"/>
      </bottom>
      <diagonal/>
    </border>
    <border>
      <left/>
      <right/>
      <top style="medium">
        <color rgb="FF1F3864"/>
      </top>
      <bottom style="medium">
        <color rgb="FF1F3864"/>
      </bottom>
      <diagonal/>
    </border>
    <border>
      <left/>
      <right/>
      <top style="medium">
        <color rgb="FF7A5200"/>
      </top>
      <bottom style="medium">
        <color rgb="FF7A5200"/>
      </bottom>
      <diagonal/>
    </border>
  </borders>
  <cellStyleXfs count="1">
    <xf numFmtId="0" fontId="0" fillId="0" borderId="0"/>
  </cellStyleXfs>
  <cellXfs count="50">
    <xf numFmtId="0" fontId="0" fillId="0" borderId="0" xfId="0"/>
    <xf numFmtId="0" fontId="4" fillId="3" borderId="0" xfId="0" applyFont="1" applyFill="1" applyAlignment="1">
      <alignment horizontal="center" vertical="center"/>
    </xf>
    <xf numFmtId="1" fontId="5" fillId="3" borderId="0" xfId="0" applyNumberFormat="1" applyFont="1" applyFill="1" applyAlignment="1">
      <alignment horizontal="center" vertical="center"/>
    </xf>
    <xf numFmtId="165" fontId="5" fillId="3" borderId="0" xfId="0" applyNumberFormat="1" applyFont="1" applyFill="1" applyAlignment="1">
      <alignment horizontal="center" vertical="center"/>
    </xf>
    <xf numFmtId="0" fontId="6" fillId="2" borderId="2" xfId="0" applyFont="1" applyFill="1" applyBorder="1" applyAlignment="1">
      <alignment horizontal="center" vertical="center" wrapText="1"/>
    </xf>
    <xf numFmtId="0" fontId="7" fillId="5" borderId="3" xfId="0" applyFont="1" applyFill="1" applyBorder="1" applyAlignment="1">
      <alignment horizontal="center" vertical="center"/>
    </xf>
    <xf numFmtId="0" fontId="9" fillId="0" borderId="3" xfId="0" applyFont="1" applyBorder="1" applyAlignment="1">
      <alignment vertical="top" wrapText="1"/>
    </xf>
    <xf numFmtId="0" fontId="10" fillId="0" borderId="3" xfId="0" applyFont="1" applyBorder="1" applyAlignment="1">
      <alignment vertical="top" wrapText="1"/>
    </xf>
    <xf numFmtId="0" fontId="11" fillId="0" borderId="3" xfId="0" applyFont="1" applyBorder="1" applyAlignment="1">
      <alignment vertical="top" wrapText="1"/>
    </xf>
    <xf numFmtId="0" fontId="12" fillId="0" borderId="3" xfId="0" applyFont="1" applyBorder="1" applyAlignment="1">
      <alignment horizontal="center" vertical="center" wrapText="1"/>
    </xf>
    <xf numFmtId="164" fontId="8" fillId="0" borderId="3" xfId="0" applyNumberFormat="1" applyFont="1" applyBorder="1" applyAlignment="1">
      <alignment horizontal="center" vertical="center"/>
    </xf>
    <xf numFmtId="0" fontId="13" fillId="0" borderId="3" xfId="0" applyFont="1" applyBorder="1" applyAlignment="1">
      <alignment horizontal="center" vertical="center" wrapText="1"/>
    </xf>
    <xf numFmtId="0" fontId="8" fillId="0" borderId="3" xfId="0" applyFont="1" applyBorder="1" applyAlignment="1">
      <alignment vertical="top" wrapText="1"/>
    </xf>
    <xf numFmtId="0" fontId="9" fillId="6" borderId="3" xfId="0" applyFont="1" applyFill="1" applyBorder="1" applyAlignment="1">
      <alignment vertical="top" wrapText="1"/>
    </xf>
    <xf numFmtId="0" fontId="10" fillId="6" borderId="3" xfId="0" applyFont="1" applyFill="1" applyBorder="1" applyAlignment="1">
      <alignment vertical="top" wrapText="1"/>
    </xf>
    <xf numFmtId="0" fontId="11" fillId="6" borderId="3" xfId="0" applyFont="1" applyFill="1" applyBorder="1" applyAlignment="1">
      <alignment vertical="top" wrapText="1"/>
    </xf>
    <xf numFmtId="0" fontId="12" fillId="6" borderId="3" xfId="0" applyFont="1" applyFill="1" applyBorder="1" applyAlignment="1">
      <alignment horizontal="center" vertical="center" wrapText="1"/>
    </xf>
    <xf numFmtId="0" fontId="8" fillId="6" borderId="3" xfId="0" applyFont="1" applyFill="1" applyBorder="1" applyAlignment="1">
      <alignment vertical="top" wrapText="1"/>
    </xf>
    <xf numFmtId="0" fontId="7" fillId="10" borderId="3" xfId="0" applyFont="1" applyFill="1" applyBorder="1" applyAlignment="1">
      <alignment horizontal="center" vertical="center"/>
    </xf>
    <xf numFmtId="0" fontId="7" fillId="11" borderId="3" xfId="0" applyFont="1" applyFill="1" applyBorder="1" applyAlignment="1">
      <alignment horizontal="center" vertical="center"/>
    </xf>
    <xf numFmtId="0" fontId="7" fillId="12" borderId="3" xfId="0" applyFont="1" applyFill="1" applyBorder="1" applyAlignment="1">
      <alignment horizontal="center" vertical="center"/>
    </xf>
    <xf numFmtId="0" fontId="7" fillId="13" borderId="3" xfId="0" applyFont="1" applyFill="1" applyBorder="1" applyAlignment="1">
      <alignment horizontal="center" vertical="center"/>
    </xf>
    <xf numFmtId="0" fontId="14"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8" fillId="0" borderId="0" xfId="0" applyFont="1" applyAlignment="1">
      <alignment vertical="top" wrapText="1"/>
    </xf>
    <xf numFmtId="0" fontId="19" fillId="14" borderId="3" xfId="0" applyFont="1" applyFill="1" applyBorder="1" applyAlignment="1">
      <alignment horizontal="center" vertical="center"/>
    </xf>
    <xf numFmtId="0" fontId="11" fillId="0" borderId="3" xfId="0" applyFont="1" applyBorder="1" applyAlignment="1">
      <alignment horizontal="left" vertical="center" wrapText="1"/>
    </xf>
    <xf numFmtId="165" fontId="11" fillId="0" borderId="3" xfId="0" applyNumberFormat="1" applyFont="1" applyBorder="1" applyAlignment="1">
      <alignment horizontal="center" vertical="center" wrapText="1"/>
    </xf>
    <xf numFmtId="0" fontId="19" fillId="14" borderId="3" xfId="0" applyFont="1" applyFill="1" applyBorder="1" applyAlignment="1">
      <alignment horizontal="left" vertical="center"/>
    </xf>
    <xf numFmtId="165" fontId="19" fillId="14" borderId="3" xfId="0" applyNumberFormat="1" applyFont="1" applyFill="1" applyBorder="1" applyAlignment="1">
      <alignment horizontal="center" vertical="center"/>
    </xf>
    <xf numFmtId="0" fontId="4" fillId="3" borderId="0" xfId="0" applyFont="1" applyFill="1" applyAlignment="1">
      <alignment horizontal="center" vertical="center"/>
    </xf>
    <xf numFmtId="0" fontId="0" fillId="3" borderId="0" xfId="0" applyFill="1"/>
    <xf numFmtId="0" fontId="14" fillId="8" borderId="6" xfId="0" applyFont="1" applyFill="1" applyBorder="1" applyAlignment="1">
      <alignment horizontal="left" vertical="center" wrapText="1" indent="1"/>
    </xf>
    <xf numFmtId="0" fontId="0" fillId="8" borderId="6" xfId="0" applyFill="1" applyBorder="1"/>
    <xf numFmtId="0" fontId="2" fillId="0" borderId="0" xfId="0" applyFont="1" applyAlignment="1">
      <alignment vertical="center" wrapText="1" indent="1"/>
    </xf>
    <xf numFmtId="0" fontId="0" fillId="0" borderId="0" xfId="0"/>
    <xf numFmtId="0" fontId="1" fillId="2" borderId="0" xfId="0" applyFont="1" applyFill="1" applyAlignment="1">
      <alignment horizontal="left" vertical="center" indent="1"/>
    </xf>
    <xf numFmtId="0" fontId="0" fillId="2" borderId="0" xfId="0" applyFill="1"/>
    <xf numFmtId="0" fontId="7" fillId="7" borderId="3" xfId="0" applyFont="1" applyFill="1" applyBorder="1" applyAlignment="1">
      <alignment horizontal="center" vertical="center" wrapText="1"/>
    </xf>
    <xf numFmtId="0" fontId="0" fillId="0" borderId="4" xfId="0" applyBorder="1"/>
    <xf numFmtId="0" fontId="0" fillId="0" borderId="5" xfId="0" applyBorder="1"/>
    <xf numFmtId="164" fontId="3" fillId="4" borderId="1" xfId="0" applyNumberFormat="1" applyFont="1" applyFill="1" applyBorder="1" applyAlignment="1">
      <alignment horizontal="center" vertical="center"/>
    </xf>
    <xf numFmtId="0" fontId="15" fillId="9" borderId="7" xfId="0" applyFont="1" applyFill="1" applyBorder="1" applyAlignment="1">
      <alignment horizontal="left" vertical="center" wrapText="1" indent="1"/>
    </xf>
    <xf numFmtId="0" fontId="0" fillId="9" borderId="7" xfId="0" applyFill="1" applyBorder="1"/>
    <xf numFmtId="0" fontId="2" fillId="3" borderId="0" xfId="0" applyFont="1" applyFill="1" applyAlignment="1">
      <alignment horizontal="left" vertical="center" indent="1"/>
    </xf>
    <xf numFmtId="1" fontId="5" fillId="3" borderId="0" xfId="0" applyNumberFormat="1" applyFont="1" applyFill="1" applyAlignment="1">
      <alignment horizontal="center" vertical="center"/>
    </xf>
    <xf numFmtId="0" fontId="14" fillId="0" borderId="3" xfId="0" applyFont="1" applyBorder="1" applyAlignment="1">
      <alignment horizontal="center" vertical="center" wrapText="1"/>
    </xf>
    <xf numFmtId="0" fontId="11" fillId="0" borderId="0" xfId="0" applyFont="1" applyAlignment="1">
      <alignment vertical="top" wrapText="1"/>
    </xf>
    <xf numFmtId="0" fontId="17" fillId="2" borderId="0" xfId="0" applyFont="1" applyFill="1" applyAlignment="1">
      <alignment vertical="center" indent="1"/>
    </xf>
    <xf numFmtId="0" fontId="16" fillId="0" borderId="0" xfId="0" applyFont="1"/>
  </cellXfs>
  <cellStyles count="1">
    <cellStyle name="Normal" xfId="0" builtinId="0"/>
  </cellStyles>
  <dxfs count="31">
    <dxf>
      <font>
        <sz val="9.5"/>
        <color rgb="FFA6470E"/>
        <name val="Arial"/>
      </font>
      <fill>
        <patternFill patternType="solid">
          <bgColor rgb="FFFCE4D6"/>
        </patternFill>
      </fill>
    </dxf>
    <dxf>
      <font>
        <i/>
        <sz val="9.5"/>
        <color rgb="FF9A9A9A"/>
        <name val="Arial"/>
      </font>
      <fill>
        <patternFill patternType="solid">
          <bgColor rgb="FFF2F2F2"/>
        </patternFill>
      </fill>
    </dxf>
    <dxf>
      <font>
        <b/>
        <sz val="9.5"/>
        <color rgb="FF8A6200"/>
        <name val="Arial"/>
      </font>
      <fill>
        <patternFill patternType="solid">
          <bgColor rgb="FFFFEB9C"/>
        </patternFill>
      </fill>
    </dxf>
    <dxf>
      <font>
        <b/>
        <sz val="9.5"/>
        <color rgb="FF0B6B2E"/>
        <name val="Arial"/>
      </font>
      <fill>
        <patternFill patternType="solid">
          <bgColor rgb="FFC6EFCE"/>
        </patternFill>
      </fill>
    </dxf>
    <dxf>
      <font>
        <sz val="9.5"/>
        <color rgb="FFA6470E"/>
        <name val="Arial"/>
      </font>
      <fill>
        <patternFill patternType="solid">
          <bgColor rgb="FFFCE4D6"/>
        </patternFill>
      </fill>
    </dxf>
    <dxf>
      <font>
        <i/>
        <sz val="9.5"/>
        <color rgb="FF9A9A9A"/>
        <name val="Arial"/>
      </font>
      <fill>
        <patternFill patternType="solid">
          <bgColor rgb="FFF2F2F2"/>
        </patternFill>
      </fill>
    </dxf>
    <dxf>
      <font>
        <b/>
        <sz val="9.5"/>
        <color rgb="FF8A6200"/>
        <name val="Arial"/>
      </font>
      <fill>
        <patternFill patternType="solid">
          <bgColor rgb="FFFFEB9C"/>
        </patternFill>
      </fill>
    </dxf>
    <dxf>
      <font>
        <b/>
        <sz val="9.5"/>
        <color rgb="FF0B6B2E"/>
        <name val="Arial"/>
      </font>
      <fill>
        <patternFill patternType="solid">
          <bgColor rgb="FFC6EFCE"/>
        </patternFill>
      </fill>
    </dxf>
    <dxf>
      <font>
        <sz val="9.5"/>
        <color rgb="FFA6470E"/>
        <name val="Arial"/>
      </font>
      <fill>
        <patternFill patternType="solid">
          <bgColor rgb="FFFCE4D6"/>
        </patternFill>
      </fill>
    </dxf>
    <dxf>
      <font>
        <i/>
        <sz val="9.5"/>
        <color rgb="FF9A9A9A"/>
        <name val="Arial"/>
      </font>
      <fill>
        <patternFill patternType="solid">
          <bgColor rgb="FFF2F2F2"/>
        </patternFill>
      </fill>
    </dxf>
    <dxf>
      <font>
        <b/>
        <sz val="9.5"/>
        <color rgb="FF8A6200"/>
        <name val="Arial"/>
      </font>
      <fill>
        <patternFill patternType="solid">
          <bgColor rgb="FFFFEB9C"/>
        </patternFill>
      </fill>
    </dxf>
    <dxf>
      <font>
        <b/>
        <sz val="9.5"/>
        <color rgb="FF0B6B2E"/>
        <name val="Arial"/>
      </font>
      <fill>
        <patternFill patternType="solid">
          <bgColor rgb="FFC6EFCE"/>
        </patternFill>
      </fill>
    </dxf>
    <dxf>
      <font>
        <sz val="9.5"/>
        <color rgb="FFA6470E"/>
        <name val="Arial"/>
      </font>
      <fill>
        <patternFill patternType="solid">
          <bgColor rgb="FFFCE4D6"/>
        </patternFill>
      </fill>
    </dxf>
    <dxf>
      <font>
        <i/>
        <sz val="9.5"/>
        <color rgb="FF9A9A9A"/>
        <name val="Arial"/>
      </font>
      <fill>
        <patternFill patternType="solid">
          <bgColor rgb="FFF2F2F2"/>
        </patternFill>
      </fill>
    </dxf>
    <dxf>
      <font>
        <b/>
        <sz val="9.5"/>
        <color rgb="FF8A6200"/>
        <name val="Arial"/>
      </font>
      <fill>
        <patternFill patternType="solid">
          <bgColor rgb="FFFFEB9C"/>
        </patternFill>
      </fill>
    </dxf>
    <dxf>
      <font>
        <b/>
        <sz val="9.5"/>
        <color rgb="FF0B6B2E"/>
        <name val="Arial"/>
      </font>
      <fill>
        <patternFill patternType="solid">
          <bgColor rgb="FFC6EFCE"/>
        </patternFill>
      </fill>
    </dxf>
    <dxf>
      <font>
        <sz val="9.5"/>
        <color rgb="FFA6470E"/>
        <name val="Arial"/>
      </font>
      <fill>
        <patternFill patternType="solid">
          <bgColor rgb="FFFCE4D6"/>
        </patternFill>
      </fill>
    </dxf>
    <dxf>
      <font>
        <i/>
        <sz val="9.5"/>
        <color rgb="FF9A9A9A"/>
        <name val="Arial"/>
      </font>
      <fill>
        <patternFill patternType="solid">
          <bgColor rgb="FFF2F2F2"/>
        </patternFill>
      </fill>
    </dxf>
    <dxf>
      <font>
        <b/>
        <sz val="9.5"/>
        <color rgb="FF8A6200"/>
        <name val="Arial"/>
      </font>
      <fill>
        <patternFill patternType="solid">
          <bgColor rgb="FFFFEB9C"/>
        </patternFill>
      </fill>
    </dxf>
    <dxf>
      <font>
        <b/>
        <sz val="9.5"/>
        <color rgb="FF0B6B2E"/>
        <name val="Arial"/>
      </font>
      <fill>
        <patternFill patternType="solid">
          <bgColor rgb="FFC6EFCE"/>
        </patternFill>
      </fill>
    </dxf>
    <dxf>
      <font>
        <sz val="9.5"/>
        <color rgb="FFA6470E"/>
        <name val="Arial"/>
      </font>
      <fill>
        <patternFill patternType="solid">
          <bgColor rgb="FFFCE4D6"/>
        </patternFill>
      </fill>
    </dxf>
    <dxf>
      <font>
        <i/>
        <sz val="9.5"/>
        <color rgb="FF9A9A9A"/>
        <name val="Arial"/>
      </font>
      <fill>
        <patternFill patternType="solid">
          <bgColor rgb="FFF2F2F2"/>
        </patternFill>
      </fill>
    </dxf>
    <dxf>
      <font>
        <b/>
        <sz val="9.5"/>
        <color rgb="FF8A6200"/>
        <name val="Arial"/>
      </font>
      <fill>
        <patternFill patternType="solid">
          <bgColor rgb="FFFFEB9C"/>
        </patternFill>
      </fill>
    </dxf>
    <dxf>
      <font>
        <b/>
        <sz val="9.5"/>
        <color rgb="FF0B6B2E"/>
        <name val="Arial"/>
      </font>
      <fill>
        <patternFill patternType="solid">
          <bgColor rgb="FFC6EFCE"/>
        </patternFill>
      </fill>
    </dxf>
    <dxf>
      <font>
        <sz val="9.5"/>
        <color rgb="FFA6470E"/>
        <name val="Arial"/>
      </font>
      <fill>
        <patternFill patternType="solid">
          <bgColor rgb="FFFCE4D6"/>
        </patternFill>
      </fill>
    </dxf>
    <dxf>
      <font>
        <i/>
        <sz val="9.5"/>
        <color rgb="FF9A9A9A"/>
        <name val="Arial"/>
      </font>
      <fill>
        <patternFill patternType="solid">
          <bgColor rgb="FFF2F2F2"/>
        </patternFill>
      </fill>
    </dxf>
    <dxf>
      <font>
        <b/>
        <sz val="9.5"/>
        <color rgb="FF8A6200"/>
        <name val="Arial"/>
      </font>
      <fill>
        <patternFill patternType="solid">
          <bgColor rgb="FFFFEB9C"/>
        </patternFill>
      </fill>
    </dxf>
    <dxf>
      <font>
        <b/>
        <sz val="9.5"/>
        <color rgb="FF0B6B2E"/>
        <name val="Arial"/>
      </font>
      <fill>
        <patternFill patternType="solid">
          <bgColor rgb="FFC6EFCE"/>
        </patternFill>
      </fill>
    </dxf>
    <dxf>
      <font>
        <b/>
        <sz val="9.5"/>
        <color rgb="FF7A8AA3"/>
        <name val="Arial"/>
      </font>
      <fill>
        <patternFill patternType="solid">
          <bgColor rgb="FFF2F5F9"/>
        </patternFill>
      </fill>
    </dxf>
    <dxf>
      <font>
        <b/>
        <sz val="9.5"/>
        <color rgb="FF8A6200"/>
        <name val="Arial"/>
      </font>
      <fill>
        <patternFill patternType="solid">
          <bgColor rgb="FFFFEB9C"/>
        </patternFill>
      </fill>
    </dxf>
    <dxf>
      <font>
        <b/>
        <sz val="9.5"/>
        <color rgb="FF0B6B2E"/>
        <name val="Arial"/>
      </font>
      <fill>
        <patternFill patternType="solid">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K70"/>
  <sheetViews>
    <sheetView showGridLines="0" tabSelected="1" zoomScale="85" workbookViewId="0">
      <pane ySplit="7" topLeftCell="A8" activePane="bottomLeft" state="frozen"/>
      <selection pane="bottomLeft" activeCell="D8" sqref="D8"/>
    </sheetView>
  </sheetViews>
  <sheetFormatPr defaultRowHeight="14.5" x14ac:dyDescent="0.35"/>
  <cols>
    <col min="1" max="1" width="6" customWidth="1"/>
    <col min="2" max="2" width="21" customWidth="1"/>
    <col min="3" max="3" width="34" customWidth="1"/>
    <col min="4" max="4" width="50" customWidth="1"/>
    <col min="5" max="5" width="34" customWidth="1"/>
    <col min="6" max="6" width="11" customWidth="1"/>
    <col min="7" max="8" width="14" customWidth="1"/>
    <col min="9" max="9" width="15" customWidth="1"/>
    <col min="10" max="10" width="40" customWidth="1"/>
    <col min="11" max="11" width="24" customWidth="1"/>
  </cols>
  <sheetData>
    <row r="1" spans="1:11" ht="32" customHeight="1" x14ac:dyDescent="0.35">
      <c r="A1" s="36" t="s">
        <v>0</v>
      </c>
      <c r="B1" s="37"/>
      <c r="C1" s="37"/>
      <c r="D1" s="37"/>
      <c r="E1" s="37"/>
      <c r="F1" s="37"/>
      <c r="G1" s="37"/>
      <c r="H1" s="37"/>
      <c r="I1" s="37"/>
      <c r="J1" s="37"/>
      <c r="K1" s="37"/>
    </row>
    <row r="2" spans="1:11" ht="19" customHeight="1" x14ac:dyDescent="0.35">
      <c r="A2" s="44" t="str">
        <f>"Nguồn: week_index.md · Business.md · ROLE.md   │   Phiên bản 1.0 · lập 22/09/2026   │   Tuần 1 bắt đầu "&amp;TEXT(NGAY_BAT_DAU+0,"dd/mm/yyyy")&amp;" · Tuần 52 kết thúc "&amp;TEXT(NGAY_BAT_DAU+363,"dd/mm/yyyy")&amp;"   │   Mục tiêu năm 1: học tập – nghiên cứu – mở rộng từ ý tưởng cốt lõi"</f>
        <v>Nguồn: week_index.md · Business.md · ROLE.md   │   Phiên bản 1.0 · lập 22/09/2026   │   Tuần 1 bắt đầu 14/09/2026 · Tuần 52 kết thúc 12/09/2027   │   Mục tiêu năm 1: học tập – nghiên cứu – mở rộng từ ý tưởng cốt lõi</v>
      </c>
      <c r="B2" s="31"/>
      <c r="C2" s="31"/>
      <c r="D2" s="31"/>
      <c r="E2" s="31"/>
      <c r="F2" s="31"/>
      <c r="G2" s="31"/>
      <c r="H2" s="31"/>
      <c r="I2" s="31"/>
      <c r="J2" s="31"/>
      <c r="K2" s="31"/>
    </row>
    <row r="4" spans="1:11" ht="16" customHeight="1" x14ac:dyDescent="0.35">
      <c r="A4" s="34" t="s">
        <v>1</v>
      </c>
      <c r="B4" s="35"/>
      <c r="C4" s="35"/>
      <c r="D4" s="41">
        <v>46279</v>
      </c>
      <c r="E4" s="30" t="s">
        <v>2</v>
      </c>
      <c r="F4" s="31"/>
      <c r="G4" s="30" t="s">
        <v>3</v>
      </c>
      <c r="H4" s="31"/>
      <c r="I4" s="1" t="s">
        <v>4</v>
      </c>
      <c r="J4" s="1" t="s">
        <v>5</v>
      </c>
      <c r="K4" s="1" t="s">
        <v>6</v>
      </c>
    </row>
    <row r="5" spans="1:11" ht="24" customHeight="1" x14ac:dyDescent="0.35">
      <c r="A5" s="35"/>
      <c r="B5" s="35"/>
      <c r="C5" s="35"/>
      <c r="D5" s="35"/>
      <c r="E5" s="45">
        <f>COUNT('C1_T01-08'!$A:$A)+COUNT('C2_T09-16'!$A:$A)+COUNT('C3_T17-24'!$A:$A)+COUNT('C4_T25-32'!$A:$A)+COUNT('C5_T33-40'!$A:$A)+COUNT('C6_T41-48'!$A:$A)+COUNT('C7_T49-52'!$A:$A)</f>
        <v>211</v>
      </c>
      <c r="F5" s="31"/>
      <c r="G5" s="45">
        <f>COUNTIF('C1_T01-08'!$I:$I,"Xong")+COUNTIF('C2_T09-16'!$I:$I,"Xong")+COUNTIF('C3_T17-24'!$I:$I,"Xong")+COUNTIF('C4_T25-32'!$I:$I,"Xong")+COUNTIF('C5_T33-40'!$I:$I,"Xong")+COUNTIF('C6_T41-48'!$I:$I,"Xong")+COUNTIF('C7_T49-52'!$I:$I,"Xong")</f>
        <v>0</v>
      </c>
      <c r="H5" s="31"/>
      <c r="I5" s="2">
        <f>COUNTIF('C1_T01-08'!$I:$I,"Đang làm")+COUNTIF('C2_T09-16'!$I:$I,"Đang làm")+COUNTIF('C3_T17-24'!$I:$I,"Đang làm")+COUNTIF('C4_T25-32'!$I:$I,"Đang làm")+COUNTIF('C5_T33-40'!$I:$I,"Đang làm")+COUNTIF('C6_T41-48'!$I:$I,"Đang làm")+COUNTIF('C7_T49-52'!$I:$I,"Đang làm")</f>
        <v>0</v>
      </c>
      <c r="J5" s="2">
        <f>COUNTIF('C1_T01-08'!$I:$I,"Chưa bắt đầu")+COUNTIF('C2_T09-16'!$I:$I,"Chưa bắt đầu")+COUNTIF('C3_T17-24'!$I:$I,"Chưa bắt đầu")+COUNTIF('C4_T25-32'!$I:$I,"Chưa bắt đầu")+COUNTIF('C5_T33-40'!$I:$I,"Chưa bắt đầu")+COUNTIF('C6_T41-48'!$I:$I,"Chưa bắt đầu")+COUNTIF('C7_T49-52'!$I:$I,"Chưa bắt đầu")</f>
        <v>211</v>
      </c>
      <c r="K5" s="3">
        <f>IFERROR(($G$5+0)/$E$5,0)</f>
        <v>0</v>
      </c>
    </row>
    <row r="6" spans="1:11" ht="7" customHeight="1" x14ac:dyDescent="0.35"/>
    <row r="7" spans="1:11" ht="40" customHeight="1" x14ac:dyDescent="0.35">
      <c r="A7" s="4" t="s">
        <v>7</v>
      </c>
      <c r="B7" s="4" t="s">
        <v>8</v>
      </c>
      <c r="C7" s="4" t="s">
        <v>9</v>
      </c>
      <c r="D7" s="4" t="s">
        <v>10</v>
      </c>
      <c r="E7" s="4" t="s">
        <v>11</v>
      </c>
      <c r="F7" s="4" t="s">
        <v>12</v>
      </c>
      <c r="G7" s="4" t="s">
        <v>13</v>
      </c>
      <c r="H7" s="4" t="s">
        <v>14</v>
      </c>
      <c r="I7" s="4" t="s">
        <v>15</v>
      </c>
      <c r="J7" s="4" t="s">
        <v>16</v>
      </c>
      <c r="K7" s="4" t="s">
        <v>17</v>
      </c>
    </row>
    <row r="8" spans="1:11" ht="94.25" customHeight="1" x14ac:dyDescent="0.35">
      <c r="A8" s="5">
        <v>1</v>
      </c>
      <c r="B8" s="38" t="s">
        <v>18</v>
      </c>
      <c r="C8" s="6" t="s">
        <v>19</v>
      </c>
      <c r="D8" s="7" t="s">
        <v>20</v>
      </c>
      <c r="E8" s="8" t="s">
        <v>21</v>
      </c>
      <c r="F8" s="9" t="s">
        <v>22</v>
      </c>
      <c r="G8" s="10">
        <f>NGAY_BAT_DAU+0</f>
        <v>46279</v>
      </c>
      <c r="H8" s="10">
        <f>NGAY_BAT_DAU+6</f>
        <v>46285</v>
      </c>
      <c r="I8" s="11" t="str">
        <f>IF(COUNTIF('C1_T01-08'!$I$6:$I$16,"Xong")+COUNTIF('C1_T01-08'!$I$6:$I$16,"Cắt")=11,"Xong",IF(COUNTIF('C1_T01-08'!$I$6:$I$16,"Chưa bắt đầu")=11,"Chưa bắt đầu","Đang làm"))</f>
        <v>Chưa bắt đầu</v>
      </c>
      <c r="J8" s="7" t="s">
        <v>23</v>
      </c>
      <c r="K8" s="12"/>
    </row>
    <row r="9" spans="1:11" ht="56.4" customHeight="1" x14ac:dyDescent="0.35">
      <c r="A9" s="5">
        <v>2</v>
      </c>
      <c r="B9" s="39"/>
      <c r="C9" s="13" t="s">
        <v>24</v>
      </c>
      <c r="D9" s="14" t="s">
        <v>25</v>
      </c>
      <c r="E9" s="15" t="s">
        <v>26</v>
      </c>
      <c r="F9" s="16" t="s">
        <v>27</v>
      </c>
      <c r="G9" s="10">
        <f>NGAY_BAT_DAU+7</f>
        <v>46286</v>
      </c>
      <c r="H9" s="10">
        <f>NGAY_BAT_DAU+13</f>
        <v>46292</v>
      </c>
      <c r="I9" s="11" t="str">
        <f>IF(COUNTIF('C1_T01-08'!$I$18:$I$23,"Xong")+COUNTIF('C1_T01-08'!$I$18:$I$23,"Cắt")=6,"Xong",IF(COUNTIF('C1_T01-08'!$I$18:$I$23,"Chưa bắt đầu")=6,"Chưa bắt đầu","Đang làm"))</f>
        <v>Chưa bắt đầu</v>
      </c>
      <c r="J9" s="14" t="s">
        <v>28</v>
      </c>
      <c r="K9" s="17"/>
    </row>
    <row r="10" spans="1:11" ht="56.4" customHeight="1" x14ac:dyDescent="0.35">
      <c r="A10" s="5">
        <v>3</v>
      </c>
      <c r="B10" s="39"/>
      <c r="C10" s="6" t="s">
        <v>29</v>
      </c>
      <c r="D10" s="7" t="s">
        <v>30</v>
      </c>
      <c r="E10" s="8" t="s">
        <v>31</v>
      </c>
      <c r="F10" s="9" t="s">
        <v>32</v>
      </c>
      <c r="G10" s="10">
        <f>NGAY_BAT_DAU+14</f>
        <v>46293</v>
      </c>
      <c r="H10" s="10">
        <f>NGAY_BAT_DAU+20</f>
        <v>46299</v>
      </c>
      <c r="I10" s="11" t="str">
        <f>IF(COUNTIF('C1_T01-08'!$I$25:$I$30,"Xong")+COUNTIF('C1_T01-08'!$I$25:$I$30,"Cắt")=6,"Xong",IF(COUNTIF('C1_T01-08'!$I$25:$I$30,"Chưa bắt đầu")=6,"Chưa bắt đầu","Đang làm"))</f>
        <v>Chưa bắt đầu</v>
      </c>
      <c r="J10" s="7" t="s">
        <v>33</v>
      </c>
      <c r="K10" s="12"/>
    </row>
    <row r="11" spans="1:11" ht="69" customHeight="1" x14ac:dyDescent="0.35">
      <c r="A11" s="5">
        <v>4</v>
      </c>
      <c r="B11" s="39"/>
      <c r="C11" s="13" t="s">
        <v>34</v>
      </c>
      <c r="D11" s="14" t="s">
        <v>35</v>
      </c>
      <c r="E11" s="15" t="s">
        <v>36</v>
      </c>
      <c r="F11" s="16" t="s">
        <v>37</v>
      </c>
      <c r="G11" s="10">
        <f>NGAY_BAT_DAU+21</f>
        <v>46300</v>
      </c>
      <c r="H11" s="10">
        <f>NGAY_BAT_DAU+27</f>
        <v>46306</v>
      </c>
      <c r="I11" s="11" t="str">
        <f>IF(COUNTIF('C1_T01-08'!$I$32:$I$39,"Xong")+COUNTIF('C1_T01-08'!$I$32:$I$39,"Cắt")=8,"Xong",IF(COUNTIF('C1_T01-08'!$I$32:$I$39,"Chưa bắt đầu")=8,"Chưa bắt đầu","Đang làm"))</f>
        <v>Chưa bắt đầu</v>
      </c>
      <c r="J11" s="14" t="s">
        <v>38</v>
      </c>
      <c r="K11" s="17"/>
    </row>
    <row r="12" spans="1:11" ht="56.4" customHeight="1" x14ac:dyDescent="0.35">
      <c r="A12" s="5">
        <v>5</v>
      </c>
      <c r="B12" s="39"/>
      <c r="C12" s="6" t="s">
        <v>39</v>
      </c>
      <c r="D12" s="7" t="s">
        <v>40</v>
      </c>
      <c r="E12" s="8" t="s">
        <v>41</v>
      </c>
      <c r="F12" s="9" t="s">
        <v>42</v>
      </c>
      <c r="G12" s="10">
        <f>NGAY_BAT_DAU+28</f>
        <v>46307</v>
      </c>
      <c r="H12" s="10">
        <f>NGAY_BAT_DAU+34</f>
        <v>46313</v>
      </c>
      <c r="I12" s="11" t="str">
        <f>IF(COUNTIF('C1_T01-08'!$I$41:$I$46,"Xong")+COUNTIF('C1_T01-08'!$I$41:$I$46,"Cắt")=6,"Xong",IF(COUNTIF('C1_T01-08'!$I$41:$I$46,"Chưa bắt đầu")=6,"Chưa bắt đầu","Đang làm"))</f>
        <v>Chưa bắt đầu</v>
      </c>
      <c r="J12" s="7" t="s">
        <v>43</v>
      </c>
      <c r="K12" s="12"/>
    </row>
    <row r="13" spans="1:11" ht="56.4" customHeight="1" x14ac:dyDescent="0.35">
      <c r="A13" s="5">
        <v>6</v>
      </c>
      <c r="B13" s="39"/>
      <c r="C13" s="13" t="s">
        <v>44</v>
      </c>
      <c r="D13" s="14" t="s">
        <v>45</v>
      </c>
      <c r="E13" s="15" t="s">
        <v>46</v>
      </c>
      <c r="F13" s="16" t="s">
        <v>47</v>
      </c>
      <c r="G13" s="10">
        <f>NGAY_BAT_DAU+35</f>
        <v>46314</v>
      </c>
      <c r="H13" s="10">
        <f>NGAY_BAT_DAU+41</f>
        <v>46320</v>
      </c>
      <c r="I13" s="11" t="str">
        <f>IF(COUNTIF('C1_T01-08'!$I$48:$I$52,"Xong")+COUNTIF('C1_T01-08'!$I$48:$I$52,"Cắt")=5,"Xong",IF(COUNTIF('C1_T01-08'!$I$48:$I$52,"Chưa bắt đầu")=5,"Chưa bắt đầu","Đang làm"))</f>
        <v>Chưa bắt đầu</v>
      </c>
      <c r="J13" s="14" t="s">
        <v>48</v>
      </c>
      <c r="K13" s="17"/>
    </row>
    <row r="14" spans="1:11" ht="56.4" customHeight="1" x14ac:dyDescent="0.35">
      <c r="A14" s="5">
        <v>7</v>
      </c>
      <c r="B14" s="39"/>
      <c r="C14" s="6" t="s">
        <v>49</v>
      </c>
      <c r="D14" s="7" t="s">
        <v>50</v>
      </c>
      <c r="E14" s="8" t="s">
        <v>51</v>
      </c>
      <c r="F14" s="9" t="s">
        <v>52</v>
      </c>
      <c r="G14" s="10">
        <f>NGAY_BAT_DAU+42</f>
        <v>46321</v>
      </c>
      <c r="H14" s="10">
        <f>NGAY_BAT_DAU+48</f>
        <v>46327</v>
      </c>
      <c r="I14" s="11" t="str">
        <f>IF(COUNTIF('C1_T01-08'!$I$54:$I$57,"Xong")+COUNTIF('C1_T01-08'!$I$54:$I$57,"Cắt")=4,"Xong",IF(COUNTIF('C1_T01-08'!$I$54:$I$57,"Chưa bắt đầu")=4,"Chưa bắt đầu","Đang làm"))</f>
        <v>Chưa bắt đầu</v>
      </c>
      <c r="J14" s="7" t="s">
        <v>53</v>
      </c>
      <c r="K14" s="12"/>
    </row>
    <row r="15" spans="1:11" ht="69" customHeight="1" x14ac:dyDescent="0.35">
      <c r="A15" s="5">
        <v>8</v>
      </c>
      <c r="B15" s="40"/>
      <c r="C15" s="13" t="s">
        <v>54</v>
      </c>
      <c r="D15" s="14" t="s">
        <v>55</v>
      </c>
      <c r="E15" s="15" t="s">
        <v>56</v>
      </c>
      <c r="F15" s="16" t="s">
        <v>57</v>
      </c>
      <c r="G15" s="10">
        <f>NGAY_BAT_DAU+49</f>
        <v>46328</v>
      </c>
      <c r="H15" s="10">
        <f>NGAY_BAT_DAU+55</f>
        <v>46334</v>
      </c>
      <c r="I15" s="11" t="str">
        <f>IF(COUNTIF('C1_T01-08'!$I$59:$I$64,"Xong")+COUNTIF('C1_T01-08'!$I$59:$I$64,"Cắt")=6,"Xong",IF(COUNTIF('C1_T01-08'!$I$59:$I$64,"Chưa bắt đầu")=6,"Chưa bắt đầu","Đang làm"))</f>
        <v>Chưa bắt đầu</v>
      </c>
      <c r="J15" s="14" t="s">
        <v>58</v>
      </c>
      <c r="K15" s="17"/>
    </row>
    <row r="16" spans="1:11" ht="36" customHeight="1" x14ac:dyDescent="0.35">
      <c r="A16" s="32" t="str">
        <f>"🎯  MỐC REVIEW CHU KỲ 1 (R1): Kết chu kỳ 1 &amp; phân tích 30 phỏng vấn  │  📅 Thời gian: "&amp;TEXT(NGAY_BAT_DAU+0,"dd/mm/yyyy")&amp;" – "&amp;TEXT(NGAY_BAT_DAU+55,"dd/mm/yyyy")&amp;"  (T01–T08)  │  👤 PIC: ALL (TT chủ trì buổi tổng hợp 3 giờ)  │  🎯 Mục đích: Biến 30 tệp phỏng vấn thành persona v1 + top 3 nỗi đau có số; kết 3 cược C1; gạch giả thuyết G1–G8  │  📋"&amp;" Output: Persona v1 · top 3 nỗi đau có % · biên bản kết C1 · Business.md 0.2 · 3 thẻ cược C2  │  📝 Ghi chú: Tuần nguội T7–T8 — không xếp việc mới  │  ⏳ Trạng thái: Chưa bắt đầu"</f>
        <v>🎯  MỐC REVIEW CHU KỲ 1 (R1): Kết chu kỳ 1 &amp; phân tích 30 phỏng vấn  │  📅 Thời gian: 14/09/2026 – 08/11/2026  (T01–T08)  │  👤 PIC: ALL (TT chủ trì buổi tổng hợp 3 giờ)  │  🎯 Mục đích: Biến 30 tệp phỏng vấn thành persona v1 + top 3 nỗi đau có số; kết 3 cược C1; gạch giả thuyết G1–G8  │  📋 Output: Persona v1 · top 3 nỗi đau có % · biên bản kết C1 · Business.md 0.2 · 3 thẻ cược C2  │  📝 Ghi chú: Tuần nguội T7–T8 — không xếp việc mới  │  ⏳ Trạng thái: Chưa bắt đầu</v>
      </c>
      <c r="B16" s="33"/>
      <c r="C16" s="33"/>
      <c r="D16" s="33"/>
      <c r="E16" s="33"/>
      <c r="F16" s="33"/>
      <c r="G16" s="33"/>
      <c r="H16" s="33"/>
      <c r="I16" s="33"/>
      <c r="J16" s="33"/>
      <c r="K16" s="33"/>
    </row>
    <row r="17" spans="1:11" ht="56.4" customHeight="1" x14ac:dyDescent="0.35">
      <c r="A17" s="5">
        <v>9</v>
      </c>
      <c r="B17" s="38" t="s">
        <v>18</v>
      </c>
      <c r="C17" s="6" t="s">
        <v>59</v>
      </c>
      <c r="D17" s="7" t="s">
        <v>60</v>
      </c>
      <c r="E17" s="8" t="s">
        <v>61</v>
      </c>
      <c r="F17" s="9" t="s">
        <v>62</v>
      </c>
      <c r="G17" s="10">
        <f>NGAY_BAT_DAU+56</f>
        <v>46335</v>
      </c>
      <c r="H17" s="10">
        <f>NGAY_BAT_DAU+62</f>
        <v>46341</v>
      </c>
      <c r="I17" s="11" t="str">
        <f>IF(COUNTIF('C2_T09-16'!$I$6:$I$11,"Xong")+COUNTIF('C2_T09-16'!$I$6:$I$11,"Cắt")=6,"Xong",IF(COUNTIF('C2_T09-16'!$I$6:$I$11,"Chưa bắt đầu")=6,"Chưa bắt đầu","Đang làm"))</f>
        <v>Chưa bắt đầu</v>
      </c>
      <c r="J17" s="7" t="s">
        <v>63</v>
      </c>
      <c r="K17" s="12"/>
    </row>
    <row r="18" spans="1:11" ht="56.4" customHeight="1" x14ac:dyDescent="0.35">
      <c r="A18" s="5">
        <v>10</v>
      </c>
      <c r="B18" s="39"/>
      <c r="C18" s="13" t="s">
        <v>64</v>
      </c>
      <c r="D18" s="14" t="s">
        <v>65</v>
      </c>
      <c r="E18" s="15" t="s">
        <v>66</v>
      </c>
      <c r="F18" s="16" t="s">
        <v>67</v>
      </c>
      <c r="G18" s="10">
        <f>NGAY_BAT_DAU+63</f>
        <v>46342</v>
      </c>
      <c r="H18" s="10">
        <f>NGAY_BAT_DAU+69</f>
        <v>46348</v>
      </c>
      <c r="I18" s="11" t="str">
        <f>IF(COUNTIF('C2_T09-16'!$I$13:$I$18,"Xong")+COUNTIF('C2_T09-16'!$I$13:$I$18,"Cắt")=6,"Xong",IF(COUNTIF('C2_T09-16'!$I$13:$I$18,"Chưa bắt đầu")=6,"Chưa bắt đầu","Đang làm"))</f>
        <v>Chưa bắt đầu</v>
      </c>
      <c r="J18" s="14" t="s">
        <v>68</v>
      </c>
      <c r="K18" s="17"/>
    </row>
    <row r="19" spans="1:11" ht="56.4" customHeight="1" x14ac:dyDescent="0.35">
      <c r="A19" s="5">
        <v>11</v>
      </c>
      <c r="B19" s="39"/>
      <c r="C19" s="6" t="s">
        <v>69</v>
      </c>
      <c r="D19" s="7" t="s">
        <v>70</v>
      </c>
      <c r="E19" s="8" t="s">
        <v>71</v>
      </c>
      <c r="F19" s="9" t="s">
        <v>72</v>
      </c>
      <c r="G19" s="10">
        <f>NGAY_BAT_DAU+70</f>
        <v>46349</v>
      </c>
      <c r="H19" s="10">
        <f>NGAY_BAT_DAU+76</f>
        <v>46355</v>
      </c>
      <c r="I19" s="11" t="str">
        <f>IF(COUNTIF('C2_T09-16'!$I$20:$I$24,"Xong")+COUNTIF('C2_T09-16'!$I$20:$I$24,"Cắt")=5,"Xong",IF(COUNTIF('C2_T09-16'!$I$20:$I$24,"Chưa bắt đầu")=5,"Chưa bắt đầu","Đang làm"))</f>
        <v>Chưa bắt đầu</v>
      </c>
      <c r="J19" s="7" t="s">
        <v>73</v>
      </c>
      <c r="K19" s="12"/>
    </row>
    <row r="20" spans="1:11" ht="56.4" customHeight="1" x14ac:dyDescent="0.35">
      <c r="A20" s="5">
        <v>12</v>
      </c>
      <c r="B20" s="40"/>
      <c r="C20" s="13" t="s">
        <v>74</v>
      </c>
      <c r="D20" s="14" t="s">
        <v>75</v>
      </c>
      <c r="E20" s="15" t="s">
        <v>76</v>
      </c>
      <c r="F20" s="16" t="s">
        <v>77</v>
      </c>
      <c r="G20" s="10">
        <f>NGAY_BAT_DAU+77</f>
        <v>46356</v>
      </c>
      <c r="H20" s="10">
        <f>NGAY_BAT_DAU+83</f>
        <v>46362</v>
      </c>
      <c r="I20" s="11" t="str">
        <f>IF(COUNTIF('C2_T09-16'!$I$26:$I$29,"Xong")+COUNTIF('C2_T09-16'!$I$26:$I$29,"Cắt")=4,"Xong",IF(COUNTIF('C2_T09-16'!$I$26:$I$29,"Chưa bắt đầu")=4,"Chưa bắt đầu","Đang làm"))</f>
        <v>Chưa bắt đầu</v>
      </c>
      <c r="J20" s="14" t="s">
        <v>78</v>
      </c>
      <c r="K20" s="17"/>
    </row>
    <row r="21" spans="1:11" ht="49" customHeight="1" x14ac:dyDescent="0.35">
      <c r="A21" s="42" t="str">
        <f>"🚩  CỔNG QUÝ 1 (G1): Giai đoạn 1 THẤU CẢM → Giai đoạn 2 BÁM DÍNH  │  📅 Thời gian: "&amp;TEXT(NGAY_BAT_DAU+77,"dd/mm/yyyy")&amp;" – "&amp;TEXT(NGAY_BAT_DAU+83,"dd/mm/yyyy")&amp;"  (T12–T12)  │  👤 PIC: ALL (TN quyết cuối)  │  🎯 Mục đích: Quyết định tiếp / xoay / dừng bằng bảng tiêu chí viết trước, không quyết bằng cảm tính  │  📋 Output: Tiêu chí: ≥ 30 phỏng"&amp;" vấn có bài học · ≥ 60% tự nêu cùng một nỗi đau · persona v1 · ≥ 3 đối tác đồng ý thử · cohort 30 người có số kích hoạt → Biên bản cổng + ADR + 3 Rocks Q2  │  📝 Ghi chú: Đồng thời "&amp;"kiểm đủ điều kiện xin quyền phát hành production  │  ⏳ Trạng thái: Chưa bắt đầu"</f>
        <v>🚩  CỔNG QUÝ 1 (G1): Giai đoạn 1 THẤU CẢM → Giai đoạn 2 BÁM DÍNH  │  📅 Thời gian: 30/11/2026 – 06/12/2026  (T12–T12)  │  👤 PIC: ALL (TN quyết cuối)  │  🎯 Mục đích: Quyết định tiếp / xoay / dừng bằng bảng tiêu chí viết trước, không quyết bằng cảm tính  │  📋 Output: Tiêu chí: ≥ 30 phỏng vấn có bài học · ≥ 60% tự nêu cùng một nỗi đau · persona v1 · ≥ 3 đối tác đồng ý thử · cohort 30 người có số kích hoạt → Biên bản cổng + ADR + 3 Rocks Q2  │  📝 Ghi chú: Đồng thời kiểm đủ điều kiện xin quyền phát hành production  │  ⏳ Trạng thái: Chưa bắt đầu</v>
      </c>
      <c r="B21" s="43"/>
      <c r="C21" s="43"/>
      <c r="D21" s="43"/>
      <c r="E21" s="43"/>
      <c r="F21" s="43"/>
      <c r="G21" s="43"/>
      <c r="H21" s="43"/>
      <c r="I21" s="43"/>
      <c r="J21" s="43"/>
      <c r="K21" s="43"/>
    </row>
    <row r="22" spans="1:11" ht="56.4" customHeight="1" x14ac:dyDescent="0.35">
      <c r="A22" s="18">
        <v>13</v>
      </c>
      <c r="B22" s="38" t="s">
        <v>79</v>
      </c>
      <c r="C22" s="6" t="s">
        <v>80</v>
      </c>
      <c r="D22" s="7" t="s">
        <v>81</v>
      </c>
      <c r="E22" s="8" t="s">
        <v>82</v>
      </c>
      <c r="F22" s="9" t="s">
        <v>27</v>
      </c>
      <c r="G22" s="10">
        <f>NGAY_BAT_DAU+84</f>
        <v>46363</v>
      </c>
      <c r="H22" s="10">
        <f>NGAY_BAT_DAU+90</f>
        <v>46369</v>
      </c>
      <c r="I22" s="11" t="str">
        <f>IF(COUNTIF('C2_T09-16'!$I$31:$I$35,"Xong")+COUNTIF('C2_T09-16'!$I$31:$I$35,"Cắt")=5,"Xong",IF(COUNTIF('C2_T09-16'!$I$31:$I$35,"Chưa bắt đầu")=5,"Chưa bắt đầu","Đang làm"))</f>
        <v>Chưa bắt đầu</v>
      </c>
      <c r="J22" s="7" t="s">
        <v>83</v>
      </c>
      <c r="K22" s="12"/>
    </row>
    <row r="23" spans="1:11" ht="43.75" customHeight="1" x14ac:dyDescent="0.35">
      <c r="A23" s="18">
        <v>14</v>
      </c>
      <c r="B23" s="39"/>
      <c r="C23" s="13" t="s">
        <v>84</v>
      </c>
      <c r="D23" s="14" t="s">
        <v>85</v>
      </c>
      <c r="E23" s="15" t="s">
        <v>86</v>
      </c>
      <c r="F23" s="16" t="s">
        <v>87</v>
      </c>
      <c r="G23" s="10">
        <f>NGAY_BAT_DAU+91</f>
        <v>46370</v>
      </c>
      <c r="H23" s="10">
        <f>NGAY_BAT_DAU+97</f>
        <v>46376</v>
      </c>
      <c r="I23" s="11" t="str">
        <f>IF(COUNTIF('C2_T09-16'!$I$37:$I$40,"Xong")+COUNTIF('C2_T09-16'!$I$37:$I$40,"Cắt")=4,"Xong",IF(COUNTIF('C2_T09-16'!$I$37:$I$40,"Chưa bắt đầu")=4,"Chưa bắt đầu","Đang làm"))</f>
        <v>Chưa bắt đầu</v>
      </c>
      <c r="J23" s="14" t="s">
        <v>88</v>
      </c>
      <c r="K23" s="17"/>
    </row>
    <row r="24" spans="1:11" ht="43.75" customHeight="1" x14ac:dyDescent="0.35">
      <c r="A24" s="18">
        <v>15</v>
      </c>
      <c r="B24" s="39"/>
      <c r="C24" s="6" t="s">
        <v>89</v>
      </c>
      <c r="D24" s="7" t="s">
        <v>90</v>
      </c>
      <c r="E24" s="8" t="s">
        <v>91</v>
      </c>
      <c r="F24" s="9" t="s">
        <v>57</v>
      </c>
      <c r="G24" s="10">
        <f>NGAY_BAT_DAU+98</f>
        <v>46377</v>
      </c>
      <c r="H24" s="10">
        <f>NGAY_BAT_DAU+104</f>
        <v>46383</v>
      </c>
      <c r="I24" s="11" t="str">
        <f>IF(COUNTIF('C2_T09-16'!$I$42:$I$45,"Xong")+COUNTIF('C2_T09-16'!$I$42:$I$45,"Cắt")=4,"Xong",IF(COUNTIF('C2_T09-16'!$I$42:$I$45,"Chưa bắt đầu")=4,"Chưa bắt đầu","Đang làm"))</f>
        <v>Chưa bắt đầu</v>
      </c>
      <c r="J24" s="7" t="s">
        <v>92</v>
      </c>
      <c r="K24" s="12"/>
    </row>
    <row r="25" spans="1:11" ht="43.75" customHeight="1" x14ac:dyDescent="0.35">
      <c r="A25" s="18">
        <v>16</v>
      </c>
      <c r="B25" s="40"/>
      <c r="C25" s="13" t="s">
        <v>93</v>
      </c>
      <c r="D25" s="14" t="s">
        <v>94</v>
      </c>
      <c r="E25" s="15" t="s">
        <v>95</v>
      </c>
      <c r="F25" s="16" t="s">
        <v>96</v>
      </c>
      <c r="G25" s="10">
        <f>NGAY_BAT_DAU+105</f>
        <v>46384</v>
      </c>
      <c r="H25" s="10">
        <f>NGAY_BAT_DAU+111</f>
        <v>46390</v>
      </c>
      <c r="I25" s="11" t="str">
        <f>IF(COUNTIF('C2_T09-16'!$I$47:$I$50,"Xong")+COUNTIF('C2_T09-16'!$I$47:$I$50,"Cắt")=4,"Xong",IF(COUNTIF('C2_T09-16'!$I$47:$I$50,"Chưa bắt đầu")=4,"Chưa bắt đầu","Đang làm"))</f>
        <v>Chưa bắt đầu</v>
      </c>
      <c r="J25" s="14" t="s">
        <v>97</v>
      </c>
      <c r="K25" s="17"/>
    </row>
    <row r="26" spans="1:11" ht="36" customHeight="1" x14ac:dyDescent="0.35">
      <c r="A26" s="32" t="str">
        <f>"🎯  MỐC REVIEW CHU KỲ 2 (R2): Kết chu kỳ 2 &amp; chọn kênh  │  📅 Thời gian: "&amp;TEXT(NGAY_BAT_DAU+56,"dd/mm/yyyy")&amp;" – "&amp;TEXT(NGAY_BAT_DAU+111,"dd/mm/yyyy")&amp;"  (T09–T16)  │  👤 PIC: ALL (ĐP chủ trì)  │  🎯 Mục đích: Kết 3 cược C2 bằng số; chọn ≤ 3 tính năng đáng xây; chọn 2 kênh (Bullseye); chuẩn bị phát hành  │  📋 Output: Biên bản kết C2"&amp;" · danh mục ≤ 3 tính năng có cột «vì sao» · dòng tiền v1 · ADR kênh · bộ hình con dấu v1 · 3 thẻ cược C3  │  📝 Ghi chú: T15–T16 trùng kỳ thi học kỳ 1 và Tết Dương — tải nhẹ  │  ⏳ T"&amp;"rạng thái: Chưa bắt đầu"</f>
        <v>🎯  MỐC REVIEW CHU KỲ 2 (R2): Kết chu kỳ 2 &amp; chọn kênh  │  📅 Thời gian: 09/11/2026 – 03/01/2027  (T09–T16)  │  👤 PIC: ALL (ĐP chủ trì)  │  🎯 Mục đích: Kết 3 cược C2 bằng số; chọn ≤ 3 tính năng đáng xây; chọn 2 kênh (Bullseye); chuẩn bị phát hành  │  📋 Output: Biên bản kết C2 · danh mục ≤ 3 tính năng có cột «vì sao» · dòng tiền v1 · ADR kênh · bộ hình con dấu v1 · 3 thẻ cược C3  │  📝 Ghi chú: T15–T16 trùng kỳ thi học kỳ 1 và Tết Dương — tải nhẹ  │  ⏳ Trạng thái: Chưa bắt đầu</v>
      </c>
      <c r="B26" s="33"/>
      <c r="C26" s="33"/>
      <c r="D26" s="33"/>
      <c r="E26" s="33"/>
      <c r="F26" s="33"/>
      <c r="G26" s="33"/>
      <c r="H26" s="33"/>
      <c r="I26" s="33"/>
      <c r="J26" s="33"/>
      <c r="K26" s="33"/>
    </row>
    <row r="27" spans="1:11" ht="56.4" customHeight="1" x14ac:dyDescent="0.35">
      <c r="A27" s="18">
        <v>17</v>
      </c>
      <c r="B27" s="38" t="s">
        <v>79</v>
      </c>
      <c r="C27" s="6" t="s">
        <v>98</v>
      </c>
      <c r="D27" s="7" t="s">
        <v>99</v>
      </c>
      <c r="E27" s="8" t="s">
        <v>100</v>
      </c>
      <c r="F27" s="9" t="s">
        <v>101</v>
      </c>
      <c r="G27" s="10">
        <f>NGAY_BAT_DAU+112</f>
        <v>46391</v>
      </c>
      <c r="H27" s="10">
        <f>NGAY_BAT_DAU+118</f>
        <v>46397</v>
      </c>
      <c r="I27" s="11" t="str">
        <f>IF(COUNTIF('C3_T17-24'!$I$6:$I$10,"Xong")+COUNTIF('C3_T17-24'!$I$6:$I$10,"Cắt")=5,"Xong",IF(COUNTIF('C3_T17-24'!$I$6:$I$10,"Chưa bắt đầu")=5,"Chưa bắt đầu","Đang làm"))</f>
        <v>Chưa bắt đầu</v>
      </c>
      <c r="J27" s="7" t="s">
        <v>102</v>
      </c>
      <c r="K27" s="12"/>
    </row>
    <row r="28" spans="1:11" ht="43.75" customHeight="1" x14ac:dyDescent="0.35">
      <c r="A28" s="18">
        <v>18</v>
      </c>
      <c r="B28" s="39"/>
      <c r="C28" s="13" t="s">
        <v>103</v>
      </c>
      <c r="D28" s="14" t="s">
        <v>104</v>
      </c>
      <c r="E28" s="15" t="s">
        <v>105</v>
      </c>
      <c r="F28" s="16" t="s">
        <v>106</v>
      </c>
      <c r="G28" s="10">
        <f>NGAY_BAT_DAU+119</f>
        <v>46398</v>
      </c>
      <c r="H28" s="10">
        <f>NGAY_BAT_DAU+125</f>
        <v>46404</v>
      </c>
      <c r="I28" s="11" t="str">
        <f>IF(COUNTIF('C3_T17-24'!$I$12:$I$15,"Xong")+COUNTIF('C3_T17-24'!$I$12:$I$15,"Cắt")=4,"Xong",IF(COUNTIF('C3_T17-24'!$I$12:$I$15,"Chưa bắt đầu")=4,"Chưa bắt đầu","Đang làm"))</f>
        <v>Chưa bắt đầu</v>
      </c>
      <c r="J28" s="14" t="s">
        <v>107</v>
      </c>
      <c r="K28" s="17"/>
    </row>
    <row r="29" spans="1:11" ht="43.75" customHeight="1" x14ac:dyDescent="0.35">
      <c r="A29" s="18">
        <v>19</v>
      </c>
      <c r="B29" s="39"/>
      <c r="C29" s="6" t="s">
        <v>108</v>
      </c>
      <c r="D29" s="7" t="s">
        <v>109</v>
      </c>
      <c r="E29" s="8" t="s">
        <v>110</v>
      </c>
      <c r="F29" s="9" t="s">
        <v>111</v>
      </c>
      <c r="G29" s="10">
        <f>NGAY_BAT_DAU+126</f>
        <v>46405</v>
      </c>
      <c r="H29" s="10">
        <f>NGAY_BAT_DAU+132</f>
        <v>46411</v>
      </c>
      <c r="I29" s="11" t="str">
        <f>IF(COUNTIF('C3_T17-24'!$I$17:$I$20,"Xong")+COUNTIF('C3_T17-24'!$I$17:$I$20,"Cắt")=4,"Xong",IF(COUNTIF('C3_T17-24'!$I$17:$I$20,"Chưa bắt đầu")=4,"Chưa bắt đầu","Đang làm"))</f>
        <v>Chưa bắt đầu</v>
      </c>
      <c r="J29" s="7" t="s">
        <v>112</v>
      </c>
      <c r="K29" s="12"/>
    </row>
    <row r="30" spans="1:11" ht="43.75" customHeight="1" x14ac:dyDescent="0.35">
      <c r="A30" s="18">
        <v>20</v>
      </c>
      <c r="B30" s="39"/>
      <c r="C30" s="13" t="s">
        <v>113</v>
      </c>
      <c r="D30" s="14" t="s">
        <v>114</v>
      </c>
      <c r="E30" s="15" t="s">
        <v>115</v>
      </c>
      <c r="F30" s="16" t="s">
        <v>116</v>
      </c>
      <c r="G30" s="10">
        <f>NGAY_BAT_DAU+133</f>
        <v>46412</v>
      </c>
      <c r="H30" s="10">
        <f>NGAY_BAT_DAU+139</f>
        <v>46418</v>
      </c>
      <c r="I30" s="11" t="str">
        <f>IF(COUNTIF('C3_T17-24'!$I$22:$I$26,"Xong")+COUNTIF('C3_T17-24'!$I$22:$I$26,"Cắt")=5,"Xong",IF(COUNTIF('C3_T17-24'!$I$22:$I$26,"Chưa bắt đầu")=5,"Chưa bắt đầu","Đang làm"))</f>
        <v>Chưa bắt đầu</v>
      </c>
      <c r="J30" s="14" t="s">
        <v>117</v>
      </c>
      <c r="K30" s="17"/>
    </row>
    <row r="31" spans="1:11" ht="43.75" customHeight="1" x14ac:dyDescent="0.35">
      <c r="A31" s="18">
        <v>21</v>
      </c>
      <c r="B31" s="39"/>
      <c r="C31" s="6" t="s">
        <v>118</v>
      </c>
      <c r="D31" s="7" t="s">
        <v>119</v>
      </c>
      <c r="E31" s="8" t="s">
        <v>120</v>
      </c>
      <c r="F31" s="9" t="s">
        <v>121</v>
      </c>
      <c r="G31" s="10">
        <f>NGAY_BAT_DAU+140</f>
        <v>46419</v>
      </c>
      <c r="H31" s="10">
        <f>NGAY_BAT_DAU+146</f>
        <v>46425</v>
      </c>
      <c r="I31" s="11" t="str">
        <f>IF(COUNTIF('C3_T17-24'!$I$28:$I$31,"Xong")+COUNTIF('C3_T17-24'!$I$28:$I$31,"Cắt")=4,"Xong",IF(COUNTIF('C3_T17-24'!$I$28:$I$31,"Chưa bắt đầu")=4,"Chưa bắt đầu","Đang làm"))</f>
        <v>Chưa bắt đầu</v>
      </c>
      <c r="J31" s="7" t="s">
        <v>122</v>
      </c>
      <c r="K31" s="12"/>
    </row>
    <row r="32" spans="1:11" ht="31.25" customHeight="1" x14ac:dyDescent="0.35">
      <c r="A32" s="18">
        <v>22</v>
      </c>
      <c r="B32" s="39"/>
      <c r="C32" s="13" t="s">
        <v>123</v>
      </c>
      <c r="D32" s="14" t="s">
        <v>124</v>
      </c>
      <c r="E32" s="15" t="s">
        <v>125</v>
      </c>
      <c r="F32" s="16" t="s">
        <v>126</v>
      </c>
      <c r="G32" s="10">
        <f>NGAY_BAT_DAU+147</f>
        <v>46426</v>
      </c>
      <c r="H32" s="10">
        <f>NGAY_BAT_DAU+153</f>
        <v>46432</v>
      </c>
      <c r="I32" s="11" t="str">
        <f>IF(COUNTIF('C3_T17-24'!$I$33:$I$33,"Xong")+COUNTIF('C3_T17-24'!$I$33:$I$33,"Cắt")=1,"Xong",IF(COUNTIF('C3_T17-24'!$I$33:$I$33,"Chưa bắt đầu")=1,"Chưa bắt đầu","Đang làm"))</f>
        <v>Chưa bắt đầu</v>
      </c>
      <c r="J32" s="14" t="s">
        <v>127</v>
      </c>
      <c r="K32" s="17"/>
    </row>
    <row r="33" spans="1:11" ht="56.4" customHeight="1" x14ac:dyDescent="0.35">
      <c r="A33" s="18">
        <v>23</v>
      </c>
      <c r="B33" s="39"/>
      <c r="C33" s="6" t="s">
        <v>128</v>
      </c>
      <c r="D33" s="7" t="s">
        <v>129</v>
      </c>
      <c r="E33" s="8" t="s">
        <v>130</v>
      </c>
      <c r="F33" s="9" t="s">
        <v>131</v>
      </c>
      <c r="G33" s="10">
        <f>NGAY_BAT_DAU+154</f>
        <v>46433</v>
      </c>
      <c r="H33" s="10">
        <f>NGAY_BAT_DAU+160</f>
        <v>46439</v>
      </c>
      <c r="I33" s="11" t="str">
        <f>IF(COUNTIF('C3_T17-24'!$I$35:$I$39,"Xong")+COUNTIF('C3_T17-24'!$I$35:$I$39,"Cắt")=5,"Xong",IF(COUNTIF('C3_T17-24'!$I$35:$I$39,"Chưa bắt đầu")=5,"Chưa bắt đầu","Đang làm"))</f>
        <v>Chưa bắt đầu</v>
      </c>
      <c r="J33" s="7" t="s">
        <v>132</v>
      </c>
      <c r="K33" s="12"/>
    </row>
    <row r="34" spans="1:11" ht="43.75" customHeight="1" x14ac:dyDescent="0.35">
      <c r="A34" s="18">
        <v>24</v>
      </c>
      <c r="B34" s="40"/>
      <c r="C34" s="13" t="s">
        <v>133</v>
      </c>
      <c r="D34" s="14" t="s">
        <v>134</v>
      </c>
      <c r="E34" s="15" t="s">
        <v>135</v>
      </c>
      <c r="F34" s="16" t="s">
        <v>136</v>
      </c>
      <c r="G34" s="10">
        <f>NGAY_BAT_DAU+161</f>
        <v>46440</v>
      </c>
      <c r="H34" s="10">
        <f>NGAY_BAT_DAU+167</f>
        <v>46446</v>
      </c>
      <c r="I34" s="11" t="str">
        <f>IF(COUNTIF('C3_T17-24'!$I$41:$I$44,"Xong")+COUNTIF('C3_T17-24'!$I$41:$I$44,"Cắt")=4,"Xong",IF(COUNTIF('C3_T17-24'!$I$41:$I$44,"Chưa bắt đầu")=4,"Chưa bắt đầu","Đang làm"))</f>
        <v>Chưa bắt đầu</v>
      </c>
      <c r="J34" s="14" t="s">
        <v>137</v>
      </c>
      <c r="K34" s="17"/>
    </row>
    <row r="35" spans="1:11" ht="36" customHeight="1" x14ac:dyDescent="0.35">
      <c r="A35" s="32" t="str">
        <f>"🎯  MỐC REVIEW CHU KỲ 3 (R3): Kết chu kỳ 3 &amp; phân tích Tết  │  📅 Thời gian: "&amp;TEXT(NGAY_BAT_DAU+112,"dd/mm/yyyy")&amp;" – "&amp;TEXT(NGAY_BAT_DAU+160,"dd/mm/yyyy")&amp;"  (T17–T23)  │  👤 PIC: ALL (ĐP chủ trì)  │  🎯 Mục đích: Kết C3 (dời sang T23 vì Tết); đo quay lại 30 ngày thật; phỏng vấn người ở lại và người bỏ  │  📋 Output: Biên bản kết C3 · bả"&amp;"ng quay lại 30 ngày tách theo kênh và quen/lạ · dieu-giu-nguoi.md · Business.md 0.4  │  📝 Ghi chú: T21–T22 nghỉ Tết Nguyên đán 2027 (06/02) — không họp hoặc họp 30'  │  ⏳ Trạng thá"&amp;"i: Chưa bắt đầu"</f>
        <v>🎯  MỐC REVIEW CHU KỲ 3 (R3): Kết chu kỳ 3 &amp; phân tích Tết  │  📅 Thời gian: 04/01/2027 – 21/02/2027  (T17–T23)  │  👤 PIC: ALL (ĐP chủ trì)  │  🎯 Mục đích: Kết C3 (dời sang T23 vì Tết); đo quay lại 30 ngày thật; phỏng vấn người ở lại và người bỏ  │  📋 Output: Biên bản kết C3 · bảng quay lại 30 ngày tách theo kênh và quen/lạ · dieu-giu-nguoi.md · Business.md 0.4  │  📝 Ghi chú: T21–T22 nghỉ Tết Nguyên đán 2027 (06/02) — không họp hoặc họp 30'  │  ⏳ Trạng thái: Chưa bắt đầu</v>
      </c>
      <c r="B35" s="33"/>
      <c r="C35" s="33"/>
      <c r="D35" s="33"/>
      <c r="E35" s="33"/>
      <c r="F35" s="33"/>
      <c r="G35" s="33"/>
      <c r="H35" s="33"/>
      <c r="I35" s="33"/>
      <c r="J35" s="33"/>
      <c r="K35" s="33"/>
    </row>
    <row r="36" spans="1:11" ht="49" customHeight="1" x14ac:dyDescent="0.35">
      <c r="A36" s="42" t="str">
        <f>"🚩  CỔNG QUÝ 2 (G2): Giai đoạn 2 BÁM DÍNH → Giai đoạn 3 LAN TRUYỀN  │  📅 Thời gian: "&amp;TEXT(NGAY_BAT_DAU+161,"dd/mm/yyyy")&amp;" – "&amp;TEXT(NGAY_BAT_DAU+167,"dd/mm/yyyy")&amp;"  (T24–T24)  │  👤 PIC: ALL (TN · ĐP quyết cuối)  │  🎯 Mục đích: Quyết định tiếp / xoay / dừng; và quyết định CỬA MỘT CHIỀU: lập doanh nghiệp trong Q3  │  📋 Output: Tiêu chí: ≥ 40% "&amp;"«rất thất vọng» (đợt 2) · quay lại 30 ngày ≥ ngưỡng đặt ở T12 · ≥ 100 người hoạt động 1 trường · biết chi phí/người → Biên bản cổng + ADR pháp nhân có chữ ký + Rocks Q3 + 3 thẻ cượ"&amp;"c C4  │  📝 Ghi chú: Lập DN vì chuẩn bị bật dòng thu (affiliate T28, hộ chiếu in T33) và ngưỡng mạng xã hội  │  ⏳ Trạng thái: Chưa bắt đầu"</f>
        <v>🚩  CỔNG QUÝ 2 (G2): Giai đoạn 2 BÁM DÍNH → Giai đoạn 3 LAN TRUYỀN  │  📅 Thời gian: 22/02/2027 – 28/02/2027  (T24–T24)  │  👤 PIC: ALL (TN · ĐP quyết cuối)  │  🎯 Mục đích: Quyết định tiếp / xoay / dừng; và quyết định CỬA MỘT CHIỀU: lập doanh nghiệp trong Q3  │  📋 Output: Tiêu chí: ≥ 40% «rất thất vọng» (đợt 2) · quay lại 30 ngày ≥ ngưỡng đặt ở T12 · ≥ 100 người hoạt động 1 trường · biết chi phí/người → Biên bản cổng + ADR pháp nhân có chữ ký + Rocks Q3 + 3 thẻ cược C4  │  📝 Ghi chú: Lập DN vì chuẩn bị bật dòng thu (affiliate T28, hộ chiếu in T33) và ngưỡng mạng xã hội  │  ⏳ Trạng thái: Chưa bắt đầu</v>
      </c>
      <c r="B36" s="43"/>
      <c r="C36" s="43"/>
      <c r="D36" s="43"/>
      <c r="E36" s="43"/>
      <c r="F36" s="43"/>
      <c r="G36" s="43"/>
      <c r="H36" s="43"/>
      <c r="I36" s="43"/>
      <c r="J36" s="43"/>
      <c r="K36" s="43"/>
    </row>
    <row r="37" spans="1:11" ht="56.4" customHeight="1" x14ac:dyDescent="0.35">
      <c r="A37" s="19">
        <v>25</v>
      </c>
      <c r="B37" s="38" t="s">
        <v>138</v>
      </c>
      <c r="C37" s="6" t="s">
        <v>139</v>
      </c>
      <c r="D37" s="7" t="s">
        <v>140</v>
      </c>
      <c r="E37" s="8" t="s">
        <v>141</v>
      </c>
      <c r="F37" s="9" t="s">
        <v>142</v>
      </c>
      <c r="G37" s="10">
        <f>NGAY_BAT_DAU+168</f>
        <v>46447</v>
      </c>
      <c r="H37" s="10">
        <f>NGAY_BAT_DAU+174</f>
        <v>46453</v>
      </c>
      <c r="I37" s="11" t="str">
        <f>IF(COUNTIF('C4_T25-32'!$I$6:$I$9,"Xong")+COUNTIF('C4_T25-32'!$I$6:$I$9,"Cắt")=4,"Xong",IF(COUNTIF('C4_T25-32'!$I$6:$I$9,"Chưa bắt đầu")=4,"Chưa bắt đầu","Đang làm"))</f>
        <v>Chưa bắt đầu</v>
      </c>
      <c r="J37" s="7" t="s">
        <v>143</v>
      </c>
      <c r="K37" s="12"/>
    </row>
    <row r="38" spans="1:11" ht="69" customHeight="1" x14ac:dyDescent="0.35">
      <c r="A38" s="19">
        <v>26</v>
      </c>
      <c r="B38" s="39"/>
      <c r="C38" s="13" t="s">
        <v>144</v>
      </c>
      <c r="D38" s="14" t="s">
        <v>145</v>
      </c>
      <c r="E38" s="15" t="s">
        <v>146</v>
      </c>
      <c r="F38" s="16" t="s">
        <v>147</v>
      </c>
      <c r="G38" s="10">
        <f>NGAY_BAT_DAU+175</f>
        <v>46454</v>
      </c>
      <c r="H38" s="10">
        <f>NGAY_BAT_DAU+181</f>
        <v>46460</v>
      </c>
      <c r="I38" s="11" t="str">
        <f>IF(COUNTIF('C4_T25-32'!$I$11:$I$15,"Xong")+COUNTIF('C4_T25-32'!$I$11:$I$15,"Cắt")=5,"Xong",IF(COUNTIF('C4_T25-32'!$I$11:$I$15,"Chưa bắt đầu")=5,"Chưa bắt đầu","Đang làm"))</f>
        <v>Chưa bắt đầu</v>
      </c>
      <c r="J38" s="14" t="s">
        <v>148</v>
      </c>
      <c r="K38" s="17"/>
    </row>
    <row r="39" spans="1:11" ht="56.4" customHeight="1" x14ac:dyDescent="0.35">
      <c r="A39" s="19">
        <v>27</v>
      </c>
      <c r="B39" s="39"/>
      <c r="C39" s="6" t="s">
        <v>149</v>
      </c>
      <c r="D39" s="7" t="s">
        <v>150</v>
      </c>
      <c r="E39" s="8" t="s">
        <v>151</v>
      </c>
      <c r="F39" s="9" t="s">
        <v>152</v>
      </c>
      <c r="G39" s="10">
        <f>NGAY_BAT_DAU+182</f>
        <v>46461</v>
      </c>
      <c r="H39" s="10">
        <f>NGAY_BAT_DAU+188</f>
        <v>46467</v>
      </c>
      <c r="I39" s="11" t="str">
        <f>IF(COUNTIF('C4_T25-32'!$I$17:$I$21,"Xong")+COUNTIF('C4_T25-32'!$I$17:$I$21,"Cắt")=5,"Xong",IF(COUNTIF('C4_T25-32'!$I$17:$I$21,"Chưa bắt đầu")=5,"Chưa bắt đầu","Đang làm"))</f>
        <v>Chưa bắt đầu</v>
      </c>
      <c r="J39" s="7" t="s">
        <v>153</v>
      </c>
      <c r="K39" s="12"/>
    </row>
    <row r="40" spans="1:11" ht="56.4" customHeight="1" x14ac:dyDescent="0.35">
      <c r="A40" s="19">
        <v>28</v>
      </c>
      <c r="B40" s="39"/>
      <c r="C40" s="13" t="s">
        <v>154</v>
      </c>
      <c r="D40" s="14" t="s">
        <v>155</v>
      </c>
      <c r="E40" s="15" t="s">
        <v>156</v>
      </c>
      <c r="F40" s="16" t="s">
        <v>157</v>
      </c>
      <c r="G40" s="10">
        <f>NGAY_BAT_DAU+189</f>
        <v>46468</v>
      </c>
      <c r="H40" s="10">
        <f>NGAY_BAT_DAU+195</f>
        <v>46474</v>
      </c>
      <c r="I40" s="11" t="str">
        <f>IF(COUNTIF('C4_T25-32'!$I$23:$I$26,"Xong")+COUNTIF('C4_T25-32'!$I$23:$I$26,"Cắt")=4,"Xong",IF(COUNTIF('C4_T25-32'!$I$23:$I$26,"Chưa bắt đầu")=4,"Chưa bắt đầu","Đang làm"))</f>
        <v>Chưa bắt đầu</v>
      </c>
      <c r="J40" s="14" t="s">
        <v>158</v>
      </c>
      <c r="K40" s="17"/>
    </row>
    <row r="41" spans="1:11" ht="56.4" customHeight="1" x14ac:dyDescent="0.35">
      <c r="A41" s="19">
        <v>29</v>
      </c>
      <c r="B41" s="39"/>
      <c r="C41" s="6" t="s">
        <v>159</v>
      </c>
      <c r="D41" s="7" t="s">
        <v>160</v>
      </c>
      <c r="E41" s="8" t="s">
        <v>161</v>
      </c>
      <c r="F41" s="9" t="s">
        <v>162</v>
      </c>
      <c r="G41" s="10">
        <f>NGAY_BAT_DAU+196</f>
        <v>46475</v>
      </c>
      <c r="H41" s="10">
        <f>NGAY_BAT_DAU+202</f>
        <v>46481</v>
      </c>
      <c r="I41" s="11" t="str">
        <f>IF(COUNTIF('C4_T25-32'!$I$28:$I$31,"Xong")+COUNTIF('C4_T25-32'!$I$28:$I$31,"Cắt")=4,"Xong",IF(COUNTIF('C4_T25-32'!$I$28:$I$31,"Chưa bắt đầu")=4,"Chưa bắt đầu","Đang làm"))</f>
        <v>Chưa bắt đầu</v>
      </c>
      <c r="J41" s="7" t="s">
        <v>163</v>
      </c>
      <c r="K41" s="12"/>
    </row>
    <row r="42" spans="1:11" ht="43.75" customHeight="1" x14ac:dyDescent="0.35">
      <c r="A42" s="19">
        <v>30</v>
      </c>
      <c r="B42" s="39"/>
      <c r="C42" s="13" t="s">
        <v>164</v>
      </c>
      <c r="D42" s="14" t="s">
        <v>165</v>
      </c>
      <c r="E42" s="15" t="s">
        <v>166</v>
      </c>
      <c r="F42" s="16" t="s">
        <v>167</v>
      </c>
      <c r="G42" s="10">
        <f>NGAY_BAT_DAU+203</f>
        <v>46482</v>
      </c>
      <c r="H42" s="10">
        <f>NGAY_BAT_DAU+209</f>
        <v>46488</v>
      </c>
      <c r="I42" s="11" t="str">
        <f>IF(COUNTIF('C4_T25-32'!$I$33:$I$36,"Xong")+COUNTIF('C4_T25-32'!$I$33:$I$36,"Cắt")=4,"Xong",IF(COUNTIF('C4_T25-32'!$I$33:$I$36,"Chưa bắt đầu")=4,"Chưa bắt đầu","Đang làm"))</f>
        <v>Chưa bắt đầu</v>
      </c>
      <c r="J42" s="14" t="s">
        <v>168</v>
      </c>
      <c r="K42" s="17"/>
    </row>
    <row r="43" spans="1:11" ht="43.75" customHeight="1" x14ac:dyDescent="0.35">
      <c r="A43" s="19">
        <v>31</v>
      </c>
      <c r="B43" s="39"/>
      <c r="C43" s="6" t="s">
        <v>169</v>
      </c>
      <c r="D43" s="7" t="s">
        <v>170</v>
      </c>
      <c r="E43" s="8" t="s">
        <v>171</v>
      </c>
      <c r="F43" s="9" t="s">
        <v>172</v>
      </c>
      <c r="G43" s="10">
        <f>NGAY_BAT_DAU+210</f>
        <v>46489</v>
      </c>
      <c r="H43" s="10">
        <f>NGAY_BAT_DAU+216</f>
        <v>46495</v>
      </c>
      <c r="I43" s="11" t="str">
        <f>IF(COUNTIF('C4_T25-32'!$I$38:$I$41,"Xong")+COUNTIF('C4_T25-32'!$I$38:$I$41,"Cắt")=4,"Xong",IF(COUNTIF('C4_T25-32'!$I$38:$I$41,"Chưa bắt đầu")=4,"Chưa bắt đầu","Đang làm"))</f>
        <v>Chưa bắt đầu</v>
      </c>
      <c r="J43" s="7" t="s">
        <v>173</v>
      </c>
      <c r="K43" s="12"/>
    </row>
    <row r="44" spans="1:11" ht="43.75" customHeight="1" x14ac:dyDescent="0.35">
      <c r="A44" s="19">
        <v>32</v>
      </c>
      <c r="B44" s="40"/>
      <c r="C44" s="13" t="s">
        <v>174</v>
      </c>
      <c r="D44" s="14" t="s">
        <v>175</v>
      </c>
      <c r="E44" s="15" t="s">
        <v>176</v>
      </c>
      <c r="F44" s="16" t="s">
        <v>177</v>
      </c>
      <c r="G44" s="10">
        <f>NGAY_BAT_DAU+217</f>
        <v>46496</v>
      </c>
      <c r="H44" s="10">
        <f>NGAY_BAT_DAU+223</f>
        <v>46502</v>
      </c>
      <c r="I44" s="11" t="str">
        <f>IF(COUNTIF('C4_T25-32'!$I$43:$I$45,"Xong")+COUNTIF('C4_T25-32'!$I$43:$I$45,"Cắt")=3,"Xong",IF(COUNTIF('C4_T25-32'!$I$43:$I$45,"Chưa bắt đầu")=3,"Chưa bắt đầu","Đang làm"))</f>
        <v>Chưa bắt đầu</v>
      </c>
      <c r="J44" s="14" t="s">
        <v>178</v>
      </c>
      <c r="K44" s="17"/>
    </row>
    <row r="45" spans="1:11" ht="36" customHeight="1" x14ac:dyDescent="0.35">
      <c r="A45" s="32" t="str">
        <f>"🎯  MỐC REVIEW CHU KỲ 4 (R4): Kết chu kỳ 4 &amp; kết luận people connection  │  📅 Thời gian: "&amp;TEXT(NGAY_BAT_DAU+168,"dd/mm/yyyy")&amp;" – "&amp;TEXT(NGAY_BAT_DAU+223,"dd/mm/yyyy")&amp;"  (T25–T32)  │  👤 PIC: ALL (VH trình phần đi chung)  │  🎯 Mục đích: Kết 3 cược C4; chốt hướng ghép nhóm đi chung (tính năng / dịch vụ thủ công / đỗ lại); rà rủi ro của quý đã có ti"&amp;"ền thật  │  📋 Output: Biên bản kết C4 · ADR ghép nhóm · Business.md 0.5 · sổ rủi ro Q3 · 3–4 thẻ cược C5  │  📝 Ghi chú: Quý đầu tiên có doanh thu thật — rủi ro tài chính và pháp lý"&amp;" đổi tính chất  │  ⏳ Trạng thái: Chưa bắt đầu"</f>
        <v>🎯  MỐC REVIEW CHU KỲ 4 (R4): Kết chu kỳ 4 &amp; kết luận people connection  │  📅 Thời gian: 01/03/2027 – 25/04/2027  (T25–T32)  │  👤 PIC: ALL (VH trình phần đi chung)  │  🎯 Mục đích: Kết 3 cược C4; chốt hướng ghép nhóm đi chung (tính năng / dịch vụ thủ công / đỗ lại); rà rủi ro của quý đã có tiền thật  │  📋 Output: Biên bản kết C4 · ADR ghép nhóm · Business.md 0.5 · sổ rủi ro Q3 · 3–4 thẻ cược C5  │  📝 Ghi chú: Quý đầu tiên có doanh thu thật — rủi ro tài chính và pháp lý đổi tính chất  │  ⏳ Trạng thái: Chưa bắt đầu</v>
      </c>
      <c r="B45" s="33"/>
      <c r="C45" s="33"/>
      <c r="D45" s="33"/>
      <c r="E45" s="33"/>
      <c r="F45" s="33"/>
      <c r="G45" s="33"/>
      <c r="H45" s="33"/>
      <c r="I45" s="33"/>
      <c r="J45" s="33"/>
      <c r="K45" s="33"/>
    </row>
    <row r="46" spans="1:11" ht="43.75" customHeight="1" x14ac:dyDescent="0.35">
      <c r="A46" s="19">
        <v>33</v>
      </c>
      <c r="B46" s="38" t="s">
        <v>138</v>
      </c>
      <c r="C46" s="6" t="s">
        <v>179</v>
      </c>
      <c r="D46" s="7" t="s">
        <v>180</v>
      </c>
      <c r="E46" s="8" t="s">
        <v>181</v>
      </c>
      <c r="F46" s="9" t="s">
        <v>182</v>
      </c>
      <c r="G46" s="10">
        <f>NGAY_BAT_DAU+224</f>
        <v>46503</v>
      </c>
      <c r="H46" s="10">
        <f>NGAY_BAT_DAU+230</f>
        <v>46509</v>
      </c>
      <c r="I46" s="11" t="str">
        <f>IF(COUNTIF('C5_T33-40'!$I$6:$I$9,"Xong")+COUNTIF('C5_T33-40'!$I$6:$I$9,"Cắt")=4,"Xong",IF(COUNTIF('C5_T33-40'!$I$6:$I$9,"Chưa bắt đầu")=4,"Chưa bắt đầu","Đang làm"))</f>
        <v>Chưa bắt đầu</v>
      </c>
      <c r="J46" s="7" t="s">
        <v>183</v>
      </c>
      <c r="K46" s="12"/>
    </row>
    <row r="47" spans="1:11" ht="43.75" customHeight="1" x14ac:dyDescent="0.35">
      <c r="A47" s="19">
        <v>34</v>
      </c>
      <c r="B47" s="39"/>
      <c r="C47" s="13" t="s">
        <v>184</v>
      </c>
      <c r="D47" s="14" t="s">
        <v>185</v>
      </c>
      <c r="E47" s="15" t="s">
        <v>186</v>
      </c>
      <c r="F47" s="16" t="s">
        <v>187</v>
      </c>
      <c r="G47" s="10">
        <f>NGAY_BAT_DAU+231</f>
        <v>46510</v>
      </c>
      <c r="H47" s="10">
        <f>NGAY_BAT_DAU+237</f>
        <v>46516</v>
      </c>
      <c r="I47" s="11" t="str">
        <f>IF(COUNTIF('C5_T33-40'!$I$11:$I$14,"Xong")+COUNTIF('C5_T33-40'!$I$11:$I$14,"Cắt")=4,"Xong",IF(COUNTIF('C5_T33-40'!$I$11:$I$14,"Chưa bắt đầu")=4,"Chưa bắt đầu","Đang làm"))</f>
        <v>Chưa bắt đầu</v>
      </c>
      <c r="J47" s="14" t="s">
        <v>188</v>
      </c>
      <c r="K47" s="17"/>
    </row>
    <row r="48" spans="1:11" ht="43.75" customHeight="1" x14ac:dyDescent="0.35">
      <c r="A48" s="19">
        <v>35</v>
      </c>
      <c r="B48" s="39"/>
      <c r="C48" s="6" t="s">
        <v>189</v>
      </c>
      <c r="D48" s="7" t="s">
        <v>190</v>
      </c>
      <c r="E48" s="8" t="s">
        <v>191</v>
      </c>
      <c r="F48" s="9" t="s">
        <v>192</v>
      </c>
      <c r="G48" s="10">
        <f>NGAY_BAT_DAU+238</f>
        <v>46517</v>
      </c>
      <c r="H48" s="10">
        <f>NGAY_BAT_DAU+244</f>
        <v>46523</v>
      </c>
      <c r="I48" s="11" t="str">
        <f>IF(COUNTIF('C5_T33-40'!$I$16:$I$19,"Xong")+COUNTIF('C5_T33-40'!$I$16:$I$19,"Cắt")=4,"Xong",IF(COUNTIF('C5_T33-40'!$I$16:$I$19,"Chưa bắt đầu")=4,"Chưa bắt đầu","Đang làm"))</f>
        <v>Chưa bắt đầu</v>
      </c>
      <c r="J48" s="7" t="s">
        <v>193</v>
      </c>
      <c r="K48" s="12"/>
    </row>
    <row r="49" spans="1:11" ht="43.75" customHeight="1" x14ac:dyDescent="0.35">
      <c r="A49" s="19">
        <v>36</v>
      </c>
      <c r="B49" s="40"/>
      <c r="C49" s="13" t="s">
        <v>194</v>
      </c>
      <c r="D49" s="14" t="s">
        <v>195</v>
      </c>
      <c r="E49" s="15" t="s">
        <v>196</v>
      </c>
      <c r="F49" s="16" t="s">
        <v>197</v>
      </c>
      <c r="G49" s="10">
        <f>NGAY_BAT_DAU+245</f>
        <v>46524</v>
      </c>
      <c r="H49" s="10">
        <f>NGAY_BAT_DAU+251</f>
        <v>46530</v>
      </c>
      <c r="I49" s="11" t="str">
        <f>IF(COUNTIF('C5_T33-40'!$I$21:$I$22,"Xong")+COUNTIF('C5_T33-40'!$I$21:$I$22,"Cắt")=2,"Xong",IF(COUNTIF('C5_T33-40'!$I$21:$I$22,"Chưa bắt đầu")=2,"Chưa bắt đầu","Đang làm"))</f>
        <v>Chưa bắt đầu</v>
      </c>
      <c r="J49" s="14" t="s">
        <v>198</v>
      </c>
      <c r="K49" s="17"/>
    </row>
    <row r="50" spans="1:11" ht="36" customHeight="1" x14ac:dyDescent="0.35">
      <c r="A50" s="42" t="str">
        <f>"🚩  CỔNG QUÝ 3 (G3): Giai đoạn 3 LAN TRUYỀN → Giai đoạn 4 DOANH THU  │  📅 Thời gian: "&amp;TEXT(NGAY_BAT_DAU+245,"dd/mm/yyyy")&amp;" – "&amp;TEXT(NGAY_BAT_DAU+251,"dd/mm/yyyy")&amp;"  (T36–T36)  │  👤 PIC: ALL  │  🎯 Mục đích: Kiểm K và doanh thu; dồn toàn bộ Q4 vào MỘT kênh và MỘT dòng thu chính  │  📋 Output: Tiêu chí: K đo được và tăng qua 3 chu kỳ (C3→C5) · d"&amp;"oanh thu &gt; 0 từ ≥ 2 dòng · LTV/CAC ước tính · pháp nhân + kế toán + hồ sơ MXH chạy ổn → Biên bản cổng + Rocks Q4  │  📝 Ghi chú: Cổng này rơi vào giữa chu kỳ 5 — chu kỳ không dừng v"&amp;"ì cổng  │  ⏳ Trạng thái: Chưa bắt đầu"</f>
        <v>🚩  CỔNG QUÝ 3 (G3): Giai đoạn 3 LAN TRUYỀN → Giai đoạn 4 DOANH THU  │  📅 Thời gian: 17/05/2027 – 23/05/2027  (T36–T36)  │  👤 PIC: ALL  │  🎯 Mục đích: Kiểm K và doanh thu; dồn toàn bộ Q4 vào MỘT kênh và MỘT dòng thu chính  │  📋 Output: Tiêu chí: K đo được và tăng qua 3 chu kỳ (C3→C5) · doanh thu &gt; 0 từ ≥ 2 dòng · LTV/CAC ước tính · pháp nhân + kế toán + hồ sơ MXH chạy ổn → Biên bản cổng + Rocks Q4  │  📝 Ghi chú: Cổng này rơi vào giữa chu kỳ 5 — chu kỳ không dừng vì cổng  │  ⏳ Trạng thái: Chưa bắt đầu</v>
      </c>
      <c r="B50" s="43"/>
      <c r="C50" s="43"/>
      <c r="D50" s="43"/>
      <c r="E50" s="43"/>
      <c r="F50" s="43"/>
      <c r="G50" s="43"/>
      <c r="H50" s="43"/>
      <c r="I50" s="43"/>
      <c r="J50" s="43"/>
      <c r="K50" s="43"/>
    </row>
    <row r="51" spans="1:11" ht="31.25" customHeight="1" x14ac:dyDescent="0.35">
      <c r="A51" s="20">
        <v>37</v>
      </c>
      <c r="B51" s="38" t="s">
        <v>199</v>
      </c>
      <c r="C51" s="6" t="s">
        <v>200</v>
      </c>
      <c r="D51" s="7" t="s">
        <v>201</v>
      </c>
      <c r="E51" s="8" t="s">
        <v>202</v>
      </c>
      <c r="F51" s="9" t="s">
        <v>203</v>
      </c>
      <c r="G51" s="10">
        <f>NGAY_BAT_DAU+252</f>
        <v>46531</v>
      </c>
      <c r="H51" s="10">
        <f>NGAY_BAT_DAU+258</f>
        <v>46537</v>
      </c>
      <c r="I51" s="11" t="str">
        <f>IF(COUNTIF('C5_T33-40'!$I$24:$I$26,"Xong")+COUNTIF('C5_T33-40'!$I$24:$I$26,"Cắt")=3,"Xong",IF(COUNTIF('C5_T33-40'!$I$24:$I$26,"Chưa bắt đầu")=3,"Chưa bắt đầu","Đang làm"))</f>
        <v>Chưa bắt đầu</v>
      </c>
      <c r="J51" s="7" t="s">
        <v>204</v>
      </c>
      <c r="K51" s="12"/>
    </row>
    <row r="52" spans="1:11" ht="31.25" customHeight="1" x14ac:dyDescent="0.35">
      <c r="A52" s="20">
        <v>38</v>
      </c>
      <c r="B52" s="39"/>
      <c r="C52" s="13" t="s">
        <v>205</v>
      </c>
      <c r="D52" s="14" t="s">
        <v>206</v>
      </c>
      <c r="E52" s="15" t="s">
        <v>207</v>
      </c>
      <c r="F52" s="16" t="s">
        <v>208</v>
      </c>
      <c r="G52" s="10">
        <f>NGAY_BAT_DAU+259</f>
        <v>46538</v>
      </c>
      <c r="H52" s="10">
        <f>NGAY_BAT_DAU+265</f>
        <v>46544</v>
      </c>
      <c r="I52" s="11" t="str">
        <f>IF(COUNTIF('C5_T33-40'!$I$28:$I$30,"Xong")+COUNTIF('C5_T33-40'!$I$28:$I$30,"Cắt")=3,"Xong",IF(COUNTIF('C5_T33-40'!$I$28:$I$30,"Chưa bắt đầu")=3,"Chưa bắt đầu","Đang làm"))</f>
        <v>Chưa bắt đầu</v>
      </c>
      <c r="J52" s="14" t="s">
        <v>209</v>
      </c>
      <c r="K52" s="17"/>
    </row>
    <row r="53" spans="1:11" ht="31.25" customHeight="1" x14ac:dyDescent="0.35">
      <c r="A53" s="20">
        <v>39</v>
      </c>
      <c r="B53" s="39"/>
      <c r="C53" s="6" t="s">
        <v>210</v>
      </c>
      <c r="D53" s="7" t="s">
        <v>211</v>
      </c>
      <c r="E53" s="8" t="s">
        <v>212</v>
      </c>
      <c r="F53" s="9" t="s">
        <v>213</v>
      </c>
      <c r="G53" s="10">
        <f>NGAY_BAT_DAU+266</f>
        <v>46545</v>
      </c>
      <c r="H53" s="10">
        <f>NGAY_BAT_DAU+272</f>
        <v>46551</v>
      </c>
      <c r="I53" s="11" t="str">
        <f>IF(COUNTIF('C5_T33-40'!$I$32:$I$34,"Xong")+COUNTIF('C5_T33-40'!$I$32:$I$34,"Cắt")=3,"Xong",IF(COUNTIF('C5_T33-40'!$I$32:$I$34,"Chưa bắt đầu")=3,"Chưa bắt đầu","Đang làm"))</f>
        <v>Chưa bắt đầu</v>
      </c>
      <c r="J53" s="7" t="s">
        <v>214</v>
      </c>
      <c r="K53" s="12"/>
    </row>
    <row r="54" spans="1:11" ht="31.25" customHeight="1" x14ac:dyDescent="0.35">
      <c r="A54" s="20">
        <v>40</v>
      </c>
      <c r="B54" s="40"/>
      <c r="C54" s="13" t="s">
        <v>215</v>
      </c>
      <c r="D54" s="14" t="s">
        <v>216</v>
      </c>
      <c r="E54" s="15" t="s">
        <v>217</v>
      </c>
      <c r="F54" s="16" t="s">
        <v>218</v>
      </c>
      <c r="G54" s="10">
        <f>NGAY_BAT_DAU+273</f>
        <v>46552</v>
      </c>
      <c r="H54" s="10">
        <f>NGAY_BAT_DAU+279</f>
        <v>46558</v>
      </c>
      <c r="I54" s="11" t="str">
        <f>IF(COUNTIF('C5_T33-40'!$I$36:$I$38,"Xong")+COUNTIF('C5_T33-40'!$I$36:$I$38,"Cắt")=3,"Xong",IF(COUNTIF('C5_T33-40'!$I$36:$I$38,"Chưa bắt đầu")=3,"Chưa bắt đầu","Đang làm"))</f>
        <v>Chưa bắt đầu</v>
      </c>
      <c r="J54" s="14" t="s">
        <v>219</v>
      </c>
      <c r="K54" s="17"/>
    </row>
    <row r="55" spans="1:11" ht="36" customHeight="1" x14ac:dyDescent="0.35">
      <c r="A55" s="32" t="str">
        <f>"🎯  MỐC REVIEW CHU KỲ 5 (R5): Kết chu kỳ 5 &amp; chuẩn bị mùa hè  │  📅 Thời gian: "&amp;TEXT(NGAY_BAT_DAU+224,"dd/mm/yyyy")&amp;" – "&amp;TEXT(NGAY_BAT_DAU+279,"dd/mm/yyyy")&amp;"  (T33–T40)  │  👤 PIC: ALL  │  🎯 Mục đích: Kết 4 cược C5 (mạng nguyên tử 2, lô in 1, creator, mời bạn); quyết định lô 2; bàn cược mùa hè  │  📋 Output: Biên bản kết C5 · ADR lô 2 · "&amp;"Business.md 0.6 · ghi chú rà pháp lý · 3 thẻ cược C6 · dàn deck 10 slide  │  📝 Ghi chú: T37–T40 trùng kỳ thi học kỳ 2 — tải nhẹ  │  ⏳ Trạng thái: Chưa bắt đầu"</f>
        <v>🎯  MỐC REVIEW CHU KỲ 5 (R5): Kết chu kỳ 5 &amp; chuẩn bị mùa hè  │  📅 Thời gian: 26/04/2027 – 20/06/2027  (T33–T40)  │  👤 PIC: ALL  │  🎯 Mục đích: Kết 4 cược C5 (mạng nguyên tử 2, lô in 1, creator, mời bạn); quyết định lô 2; bàn cược mùa hè  │  📋 Output: Biên bản kết C5 · ADR lô 2 · Business.md 0.6 · ghi chú rà pháp lý · 3 thẻ cược C6 · dàn deck 10 slide  │  📝 Ghi chú: T37–T40 trùng kỳ thi học kỳ 2 — tải nhẹ  │  ⏳ Trạng thái: Chưa bắt đầu</v>
      </c>
      <c r="B55" s="33"/>
      <c r="C55" s="33"/>
      <c r="D55" s="33"/>
      <c r="E55" s="33"/>
      <c r="F55" s="33"/>
      <c r="G55" s="33"/>
      <c r="H55" s="33"/>
      <c r="I55" s="33"/>
      <c r="J55" s="33"/>
      <c r="K55" s="33"/>
    </row>
    <row r="56" spans="1:11" ht="56.4" customHeight="1" x14ac:dyDescent="0.35">
      <c r="A56" s="20">
        <v>41</v>
      </c>
      <c r="B56" s="38" t="s">
        <v>199</v>
      </c>
      <c r="C56" s="6" t="s">
        <v>220</v>
      </c>
      <c r="D56" s="7" t="s">
        <v>221</v>
      </c>
      <c r="E56" s="8" t="s">
        <v>222</v>
      </c>
      <c r="F56" s="9" t="s">
        <v>223</v>
      </c>
      <c r="G56" s="10">
        <f>NGAY_BAT_DAU+280</f>
        <v>46559</v>
      </c>
      <c r="H56" s="10">
        <f>NGAY_BAT_DAU+286</f>
        <v>46565</v>
      </c>
      <c r="I56" s="11" t="str">
        <f>IF(COUNTIF('C6_T41-48'!$I$6:$I$10,"Xong")+COUNTIF('C6_T41-48'!$I$6:$I$10,"Cắt")=5,"Xong",IF(COUNTIF('C6_T41-48'!$I$6:$I$10,"Chưa bắt đầu")=5,"Chưa bắt đầu","Đang làm"))</f>
        <v>Chưa bắt đầu</v>
      </c>
      <c r="J56" s="7" t="s">
        <v>224</v>
      </c>
      <c r="K56" s="12"/>
    </row>
    <row r="57" spans="1:11" ht="31.25" customHeight="1" x14ac:dyDescent="0.35">
      <c r="A57" s="20">
        <v>42</v>
      </c>
      <c r="B57" s="39"/>
      <c r="C57" s="13" t="s">
        <v>225</v>
      </c>
      <c r="D57" s="14" t="s">
        <v>226</v>
      </c>
      <c r="E57" s="15" t="s">
        <v>227</v>
      </c>
      <c r="F57" s="16" t="s">
        <v>223</v>
      </c>
      <c r="G57" s="10">
        <f>NGAY_BAT_DAU+287</f>
        <v>46566</v>
      </c>
      <c r="H57" s="10">
        <f>NGAY_BAT_DAU+293</f>
        <v>46572</v>
      </c>
      <c r="I57" s="11" t="str">
        <f>IF(COUNTIF('C6_T41-48'!$I$12:$I$14,"Xong")+COUNTIF('C6_T41-48'!$I$12:$I$14,"Cắt")=3,"Xong",IF(COUNTIF('C6_T41-48'!$I$12:$I$14,"Chưa bắt đầu")=3,"Chưa bắt đầu","Đang làm"))</f>
        <v>Chưa bắt đầu</v>
      </c>
      <c r="J57" s="14" t="s">
        <v>228</v>
      </c>
      <c r="K57" s="17"/>
    </row>
    <row r="58" spans="1:11" ht="31.25" customHeight="1" x14ac:dyDescent="0.35">
      <c r="A58" s="20">
        <v>43</v>
      </c>
      <c r="B58" s="39"/>
      <c r="C58" s="6" t="s">
        <v>229</v>
      </c>
      <c r="D58" s="7" t="s">
        <v>230</v>
      </c>
      <c r="E58" s="8" t="s">
        <v>231</v>
      </c>
      <c r="F58" s="9" t="s">
        <v>106</v>
      </c>
      <c r="G58" s="10">
        <f>NGAY_BAT_DAU+294</f>
        <v>46573</v>
      </c>
      <c r="H58" s="10">
        <f>NGAY_BAT_DAU+300</f>
        <v>46579</v>
      </c>
      <c r="I58" s="11" t="str">
        <f>IF(COUNTIF('C6_T41-48'!$I$16:$I$18,"Xong")+COUNTIF('C6_T41-48'!$I$16:$I$18,"Cắt")=3,"Xong",IF(COUNTIF('C6_T41-48'!$I$16:$I$18,"Chưa bắt đầu")=3,"Chưa bắt đầu","Đang làm"))</f>
        <v>Chưa bắt đầu</v>
      </c>
      <c r="J58" s="7" t="s">
        <v>232</v>
      </c>
      <c r="K58" s="12"/>
    </row>
    <row r="59" spans="1:11" ht="43.75" customHeight="1" x14ac:dyDescent="0.35">
      <c r="A59" s="20">
        <v>44</v>
      </c>
      <c r="B59" s="39"/>
      <c r="C59" s="13" t="s">
        <v>233</v>
      </c>
      <c r="D59" s="14" t="s">
        <v>234</v>
      </c>
      <c r="E59" s="15" t="s">
        <v>235</v>
      </c>
      <c r="F59" s="16" t="s">
        <v>182</v>
      </c>
      <c r="G59" s="10">
        <f>NGAY_BAT_DAU+301</f>
        <v>46580</v>
      </c>
      <c r="H59" s="10">
        <f>NGAY_BAT_DAU+307</f>
        <v>46586</v>
      </c>
      <c r="I59" s="11" t="str">
        <f>IF(COUNTIF('C6_T41-48'!$I$20:$I$22,"Xong")+COUNTIF('C6_T41-48'!$I$20:$I$22,"Cắt")=3,"Xong",IF(COUNTIF('C6_T41-48'!$I$20:$I$22,"Chưa bắt đầu")=3,"Chưa bắt đầu","Đang làm"))</f>
        <v>Chưa bắt đầu</v>
      </c>
      <c r="J59" s="14" t="s">
        <v>236</v>
      </c>
      <c r="K59" s="17"/>
    </row>
    <row r="60" spans="1:11" ht="43.75" customHeight="1" x14ac:dyDescent="0.35">
      <c r="A60" s="20">
        <v>45</v>
      </c>
      <c r="B60" s="39"/>
      <c r="C60" s="6" t="s">
        <v>237</v>
      </c>
      <c r="D60" s="7" t="s">
        <v>238</v>
      </c>
      <c r="E60" s="8" t="s">
        <v>239</v>
      </c>
      <c r="F60" s="9" t="s">
        <v>213</v>
      </c>
      <c r="G60" s="10">
        <f>NGAY_BAT_DAU+308</f>
        <v>46587</v>
      </c>
      <c r="H60" s="10">
        <f>NGAY_BAT_DAU+314</f>
        <v>46593</v>
      </c>
      <c r="I60" s="11" t="str">
        <f>IF(COUNTIF('C6_T41-48'!$I$24:$I$26,"Xong")+COUNTIF('C6_T41-48'!$I$24:$I$26,"Cắt")=3,"Xong",IF(COUNTIF('C6_T41-48'!$I$24:$I$26,"Chưa bắt đầu")=3,"Chưa bắt đầu","Đang làm"))</f>
        <v>Chưa bắt đầu</v>
      </c>
      <c r="J60" s="7" t="s">
        <v>240</v>
      </c>
      <c r="K60" s="12"/>
    </row>
    <row r="61" spans="1:11" ht="43.75" customHeight="1" x14ac:dyDescent="0.35">
      <c r="A61" s="20">
        <v>46</v>
      </c>
      <c r="B61" s="40"/>
      <c r="C61" s="13" t="s">
        <v>241</v>
      </c>
      <c r="D61" s="14" t="s">
        <v>242</v>
      </c>
      <c r="E61" s="15" t="s">
        <v>243</v>
      </c>
      <c r="F61" s="16" t="s">
        <v>177</v>
      </c>
      <c r="G61" s="10">
        <f>NGAY_BAT_DAU+315</f>
        <v>46594</v>
      </c>
      <c r="H61" s="10">
        <f>NGAY_BAT_DAU+321</f>
        <v>46600</v>
      </c>
      <c r="I61" s="11" t="str">
        <f>IF(COUNTIF('C6_T41-48'!$I$28:$I$29,"Xong")+COUNTIF('C6_T41-48'!$I$28:$I$29,"Cắt")=2,"Xong",IF(COUNTIF('C6_T41-48'!$I$28:$I$29,"Chưa bắt đầu")=2,"Chưa bắt đầu","Đang làm"))</f>
        <v>Chưa bắt đầu</v>
      </c>
      <c r="J61" s="14" t="s">
        <v>244</v>
      </c>
      <c r="K61" s="17"/>
    </row>
    <row r="62" spans="1:11" ht="36" customHeight="1" x14ac:dyDescent="0.35">
      <c r="A62" s="32" t="str">
        <f>"🎯  MỐC REVIEW CHU KỲ 6 (R6): Kết chu kỳ 6 — mùa hè &amp; B2B  │  📅 Thời gian: "&amp;TEXT(NGAY_BAT_DAU+280,"dd/mm/yyyy")&amp;" – "&amp;TEXT(NGAY_BAT_DAU+321,"dd/mm/yyyy")&amp;"  (T41–T46)  │  👤 PIC: ALL  │  🎯 Mục đích: Kết 3 cược mùa hè: người hoạt động ×2, B2B, tối ưu dòng thu chính; đo LTV/CAC theo kênh  │  📋 Output: Biên bản kết C6 · 1 trang bài học h"&amp;"è · LTV/CAC theo kênh · quy trình chăm sóc khách hàng + FAQ 20 câu  │  📝 Ghi chú: Chu kỳ nặng nhất năm — nghỉ hè trùng mùa cao điểm du lịch nội địa  │  ⏳ Trạng thái: Chưa bắt đầu"</f>
        <v>🎯  MỐC REVIEW CHU KỲ 6 (R6): Kết chu kỳ 6 — mùa hè &amp; B2B  │  📅 Thời gian: 21/06/2027 – 01/08/2027  (T41–T46)  │  👤 PIC: ALL  │  🎯 Mục đích: Kết 3 cược mùa hè: người hoạt động ×2, B2B, tối ưu dòng thu chính; đo LTV/CAC theo kênh  │  📋 Output: Biên bản kết C6 · 1 trang bài học hè · LTV/CAC theo kênh · quy trình chăm sóc khách hàng + FAQ 20 câu  │  📝 Ghi chú: Chu kỳ nặng nhất năm — nghỉ hè trùng mùa cao điểm du lịch nội địa  │  ⏳ Trạng thái: Chưa bắt đầu</v>
      </c>
      <c r="B62" s="33"/>
      <c r="C62" s="33"/>
      <c r="D62" s="33"/>
      <c r="E62" s="33"/>
      <c r="F62" s="33"/>
      <c r="G62" s="33"/>
      <c r="H62" s="33"/>
      <c r="I62" s="33"/>
      <c r="J62" s="33"/>
      <c r="K62" s="33"/>
    </row>
    <row r="63" spans="1:11" ht="43.75" customHeight="1" x14ac:dyDescent="0.35">
      <c r="A63" s="20">
        <v>47</v>
      </c>
      <c r="B63" s="38" t="s">
        <v>199</v>
      </c>
      <c r="C63" s="6" t="s">
        <v>245</v>
      </c>
      <c r="D63" s="7" t="s">
        <v>246</v>
      </c>
      <c r="E63" s="8" t="s">
        <v>247</v>
      </c>
      <c r="F63" s="9" t="s">
        <v>213</v>
      </c>
      <c r="G63" s="10">
        <f>NGAY_BAT_DAU+322</f>
        <v>46601</v>
      </c>
      <c r="H63" s="10">
        <f>NGAY_BAT_DAU+328</f>
        <v>46607</v>
      </c>
      <c r="I63" s="11" t="str">
        <f>IF(COUNTIF('C6_T41-48'!$I$31:$I$33,"Xong")+COUNTIF('C6_T41-48'!$I$31:$I$33,"Cắt")=3,"Xong",IF(COUNTIF('C6_T41-48'!$I$31:$I$33,"Chưa bắt đầu")=3,"Chưa bắt đầu","Đang làm"))</f>
        <v>Chưa bắt đầu</v>
      </c>
      <c r="J63" s="7" t="s">
        <v>248</v>
      </c>
      <c r="K63" s="12"/>
    </row>
    <row r="64" spans="1:11" ht="31.25" customHeight="1" x14ac:dyDescent="0.35">
      <c r="A64" s="20">
        <v>48</v>
      </c>
      <c r="B64" s="40"/>
      <c r="C64" s="13" t="s">
        <v>249</v>
      </c>
      <c r="D64" s="14" t="s">
        <v>250</v>
      </c>
      <c r="E64" s="15" t="s">
        <v>251</v>
      </c>
      <c r="F64" s="16" t="s">
        <v>197</v>
      </c>
      <c r="G64" s="10">
        <f>NGAY_BAT_DAU+329</f>
        <v>46608</v>
      </c>
      <c r="H64" s="10">
        <f>NGAY_BAT_DAU+335</f>
        <v>46614</v>
      </c>
      <c r="I64" s="11" t="str">
        <f>IF(COUNTIF('C6_T41-48'!$I$35:$I$35,"Xong")+COUNTIF('C6_T41-48'!$I$35:$I$35,"Cắt")=1,"Xong",IF(COUNTIF('C6_T41-48'!$I$35:$I$35,"Chưa bắt đầu")=1,"Chưa bắt đầu","Đang làm"))</f>
        <v>Chưa bắt đầu</v>
      </c>
      <c r="J64" s="14" t="s">
        <v>252</v>
      </c>
      <c r="K64" s="17"/>
    </row>
    <row r="65" spans="1:11" ht="36" customHeight="1" x14ac:dyDescent="0.35">
      <c r="A65" s="42" t="str">
        <f>"🚩  CỔNG QUÝ 4 (G4): Quyết định hướng đi năm 2  │  📅 Thời gian: "&amp;TEXT(NGAY_BAT_DAU+329,"dd/mm/yyyy")&amp;" – "&amp;TEXT(NGAY_BAT_DAU+335,"dd/mm/yyyy")&amp;"  (T48–T48)  │  👤 PIC: ALL  │  🎯 Mục đích: Chọn một trong bốn lối: gọi vốn · dự thi · tự nuôi (bootstrapping) · dừng và bàn giao tài sản  │  📋 Output: Tiêu chí: LTV ≥ 3 × CAC trên "&amp;"≥ 1 kênh · doanh thu tháng ≥ chi phí hạ tầng + kế toán · ≥ 2 mạng nguyên tử sống → Biên bản cổng + ADR năm 2 + Rocks «quý 5»  │  📝 Ghi chú: Business.md 0.7 và bảng tiêu chí phải sẵ"&amp;"n SỐ từ T47, không tính trong buổi họp  │  ⏳ Trạng thái: Chưa bắt đầu"</f>
        <v>🚩  CỔNG QUÝ 4 (G4): Quyết định hướng đi năm 2  │  📅 Thời gian: 09/08/2027 – 15/08/2027  (T48–T48)  │  👤 PIC: ALL  │  🎯 Mục đích: Chọn một trong bốn lối: gọi vốn · dự thi · tự nuôi (bootstrapping) · dừng và bàn giao tài sản  │  📋 Output: Tiêu chí: LTV ≥ 3 × CAC trên ≥ 1 kênh · doanh thu tháng ≥ chi phí hạ tầng + kế toán · ≥ 2 mạng nguyên tử sống → Biên bản cổng + ADR năm 2 + Rocks «quý 5»  │  📝 Ghi chú: Business.md 0.7 và bảng tiêu chí phải sẵn SỐ từ T47, không tính trong buổi họp  │  ⏳ Trạng thái: Chưa bắt đầu</v>
      </c>
      <c r="B65" s="43"/>
      <c r="C65" s="43"/>
      <c r="D65" s="43"/>
      <c r="E65" s="43"/>
      <c r="F65" s="43"/>
      <c r="G65" s="43"/>
      <c r="H65" s="43"/>
      <c r="I65" s="43"/>
      <c r="J65" s="43"/>
      <c r="K65" s="43"/>
    </row>
    <row r="66" spans="1:11" ht="43.75" customHeight="1" x14ac:dyDescent="0.35">
      <c r="A66" s="21">
        <v>49</v>
      </c>
      <c r="B66" s="38" t="s">
        <v>253</v>
      </c>
      <c r="C66" s="6" t="s">
        <v>254</v>
      </c>
      <c r="D66" s="7" t="s">
        <v>255</v>
      </c>
      <c r="E66" s="8" t="s">
        <v>256</v>
      </c>
      <c r="F66" s="9" t="s">
        <v>213</v>
      </c>
      <c r="G66" s="10">
        <f>NGAY_BAT_DAU+336</f>
        <v>46615</v>
      </c>
      <c r="H66" s="10">
        <f>NGAY_BAT_DAU+342</f>
        <v>46621</v>
      </c>
      <c r="I66" s="11" t="str">
        <f>IF(COUNTIF('C7_T49-52'!$I$6:$I$7,"Xong")+COUNTIF('C7_T49-52'!$I$6:$I$7,"Cắt")=2,"Xong",IF(COUNTIF('C7_T49-52'!$I$6:$I$7,"Chưa bắt đầu")=2,"Chưa bắt đầu","Đang làm"))</f>
        <v>Chưa bắt đầu</v>
      </c>
      <c r="J66" s="7" t="s">
        <v>257</v>
      </c>
      <c r="K66" s="12"/>
    </row>
    <row r="67" spans="1:11" ht="31.25" customHeight="1" x14ac:dyDescent="0.35">
      <c r="A67" s="21">
        <v>50</v>
      </c>
      <c r="B67" s="39"/>
      <c r="C67" s="13" t="s">
        <v>258</v>
      </c>
      <c r="D67" s="14" t="s">
        <v>259</v>
      </c>
      <c r="E67" s="15" t="s">
        <v>260</v>
      </c>
      <c r="F67" s="16" t="s">
        <v>261</v>
      </c>
      <c r="G67" s="10">
        <f>NGAY_BAT_DAU+343</f>
        <v>46622</v>
      </c>
      <c r="H67" s="10">
        <f>NGAY_BAT_DAU+349</f>
        <v>46628</v>
      </c>
      <c r="I67" s="11" t="str">
        <f>IF(COUNTIF('C7_T49-52'!$I$9:$I$10,"Xong")+COUNTIF('C7_T49-52'!$I$9:$I$10,"Cắt")=2,"Xong",IF(COUNTIF('C7_T49-52'!$I$9:$I$10,"Chưa bắt đầu")=2,"Chưa bắt đầu","Đang làm"))</f>
        <v>Chưa bắt đầu</v>
      </c>
      <c r="J67" s="14" t="s">
        <v>262</v>
      </c>
      <c r="K67" s="17"/>
    </row>
    <row r="68" spans="1:11" ht="31.25" customHeight="1" x14ac:dyDescent="0.35">
      <c r="A68" s="21">
        <v>51</v>
      </c>
      <c r="B68" s="39"/>
      <c r="C68" s="6" t="s">
        <v>263</v>
      </c>
      <c r="D68" s="7" t="s">
        <v>264</v>
      </c>
      <c r="E68" s="8" t="s">
        <v>265</v>
      </c>
      <c r="F68" s="9" t="s">
        <v>266</v>
      </c>
      <c r="G68" s="10">
        <f>NGAY_BAT_DAU+350</f>
        <v>46629</v>
      </c>
      <c r="H68" s="10">
        <f>NGAY_BAT_DAU+356</f>
        <v>46635</v>
      </c>
      <c r="I68" s="11" t="str">
        <f>IF(COUNTIF('C7_T49-52'!$I$12:$I$13,"Xong")+COUNTIF('C7_T49-52'!$I$12:$I$13,"Cắt")=2,"Xong",IF(COUNTIF('C7_T49-52'!$I$12:$I$13,"Chưa bắt đầu")=2,"Chưa bắt đầu","Đang làm"))</f>
        <v>Chưa bắt đầu</v>
      </c>
      <c r="J68" s="7" t="s">
        <v>267</v>
      </c>
      <c r="K68" s="12"/>
    </row>
    <row r="69" spans="1:11" ht="31.25" customHeight="1" x14ac:dyDescent="0.35">
      <c r="A69" s="21">
        <v>52</v>
      </c>
      <c r="B69" s="40"/>
      <c r="C69" s="13" t="s">
        <v>268</v>
      </c>
      <c r="D69" s="14" t="s">
        <v>269</v>
      </c>
      <c r="E69" s="15" t="s">
        <v>270</v>
      </c>
      <c r="F69" s="16" t="s">
        <v>197</v>
      </c>
      <c r="G69" s="10">
        <f>NGAY_BAT_DAU+357</f>
        <v>46636</v>
      </c>
      <c r="H69" s="10">
        <f>NGAY_BAT_DAU+363</f>
        <v>46642</v>
      </c>
      <c r="I69" s="11" t="str">
        <f>IF(COUNTIF('C7_T49-52'!$I$15:$I$15,"Xong")+COUNTIF('C7_T49-52'!$I$15:$I$15,"Cắt")=1,"Xong",IF(COUNTIF('C7_T49-52'!$I$15:$I$15,"Chưa bắt đầu")=1,"Chưa bắt đầu","Đang làm"))</f>
        <v>Chưa bắt đầu</v>
      </c>
      <c r="J69" s="14" t="s">
        <v>271</v>
      </c>
      <c r="K69" s="17"/>
    </row>
    <row r="70" spans="1:11" ht="36" customHeight="1" x14ac:dyDescent="0.35">
      <c r="A70" s="32" t="str">
        <f>"🎯  TỔNG KẾT NĂM 1 (R7): Kiểm kê tài sản &amp; kế hoạch năm 2  │  📅 Thời gian: "&amp;TEXT(NGAY_BAT_DAU+336,"dd/mm/yyyy")&amp;" – "&amp;TEXT(NGAY_BAT_DAU+363,"dd/mm/yyyy")&amp;"  (T49–T52)  │  👤 PIC: ALL  │  🎯 Mục đích: Kết lại 12 tháng bằng bằng chứng, không bằng trí nhớ; chuẩn bị giai đoạn 5 Mở rộng  │  📋 Output: Bảng kiểm kê tài sản · 6 trang tổng kết "&amp;"L1–L6 · 10 tệp phỏng vấn người dùng lâu nhất · Business.md 1.0 · kế hoạch năm 2  │  📝 Ghi chú: Sau T52 nghỉ 1 tuần trước khi vào năm 2  │  ⏳ Trạng thái: Chưa bắt đầu"</f>
        <v>🎯  TỔNG KẾT NĂM 1 (R7): Kiểm kê tài sản &amp; kế hoạch năm 2  │  📅 Thời gian: 16/08/2027 – 12/09/2027  (T49–T52)  │  👤 PIC: ALL  │  🎯 Mục đích: Kết lại 12 tháng bằng bằng chứng, không bằng trí nhớ; chuẩn bị giai đoạn 5 Mở rộng  │  📋 Output: Bảng kiểm kê tài sản · 6 trang tổng kết L1–L6 · 10 tệp phỏng vấn người dùng lâu nhất · Business.md 1.0 · kế hoạch năm 2  │  📝 Ghi chú: Sau T52 nghỉ 1 tuần trước khi vào năm 2  │  ⏳ Trạng thái: Chưa bắt đầu</v>
      </c>
      <c r="B70" s="33"/>
      <c r="C70" s="33"/>
      <c r="D70" s="33"/>
      <c r="E70" s="33"/>
      <c r="F70" s="33"/>
      <c r="G70" s="33"/>
      <c r="H70" s="33"/>
      <c r="I70" s="33"/>
      <c r="J70" s="33"/>
      <c r="K70" s="33"/>
    </row>
  </sheetData>
  <mergeCells count="29">
    <mergeCell ref="B63:B64"/>
    <mergeCell ref="A70:K70"/>
    <mergeCell ref="E4:F4"/>
    <mergeCell ref="B56:B61"/>
    <mergeCell ref="B17:B20"/>
    <mergeCell ref="D4:D5"/>
    <mergeCell ref="A65:K65"/>
    <mergeCell ref="A16:K16"/>
    <mergeCell ref="B8:B15"/>
    <mergeCell ref="B27:B34"/>
    <mergeCell ref="A50:K50"/>
    <mergeCell ref="A26:K26"/>
    <mergeCell ref="A21:K21"/>
    <mergeCell ref="A55:K55"/>
    <mergeCell ref="G5:H5"/>
    <mergeCell ref="B22:B25"/>
    <mergeCell ref="B66:B69"/>
    <mergeCell ref="G4:H4"/>
    <mergeCell ref="A35:K35"/>
    <mergeCell ref="A62:K62"/>
    <mergeCell ref="A4:C5"/>
    <mergeCell ref="A1:K1"/>
    <mergeCell ref="A2:K2"/>
    <mergeCell ref="B51:B54"/>
    <mergeCell ref="E5:F5"/>
    <mergeCell ref="A36:K36"/>
    <mergeCell ref="B46:B49"/>
    <mergeCell ref="A45:K45"/>
    <mergeCell ref="B37:B44"/>
  </mergeCells>
  <conditionalFormatting sqref="I8:I16">
    <cfRule type="cellIs" dxfId="30" priority="1" operator="equal">
      <formula>"Xong"</formula>
    </cfRule>
    <cfRule type="cellIs" dxfId="29" priority="2" operator="equal">
      <formula>"Đang làm"</formula>
    </cfRule>
    <cfRule type="cellIs" dxfId="28" priority="3" operator="equal">
      <formula>"Chưa bắt đầu"</formula>
    </cfRule>
  </conditionalFormatting>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pageSetUpPr fitToPage="1"/>
  </sheetPr>
  <dimension ref="A1:K64"/>
  <sheetViews>
    <sheetView showGridLines="0" zoomScale="85" workbookViewId="0">
      <pane ySplit="4" topLeftCell="A5" activePane="bottomLeft" state="frozen"/>
      <selection pane="bottomLeft" activeCell="G7" sqref="G7"/>
    </sheetView>
  </sheetViews>
  <sheetFormatPr defaultRowHeight="14.5" x14ac:dyDescent="0.35"/>
  <cols>
    <col min="1" max="1" width="6" customWidth="1"/>
    <col min="2" max="2" width="21" customWidth="1"/>
    <col min="3" max="3" width="34" customWidth="1"/>
    <col min="4" max="4" width="50" customWidth="1"/>
    <col min="5" max="5" width="34" customWidth="1"/>
    <col min="6" max="6" width="11" customWidth="1"/>
    <col min="7" max="8" width="14" customWidth="1"/>
    <col min="9" max="9" width="15" customWidth="1"/>
    <col min="10" max="10" width="40" customWidth="1"/>
    <col min="11" max="11" width="24" customWidth="1"/>
  </cols>
  <sheetData>
    <row r="1" spans="1:11" ht="32" customHeight="1" x14ac:dyDescent="0.35">
      <c r="A1" s="36" t="s">
        <v>272</v>
      </c>
      <c r="B1" s="37"/>
      <c r="C1" s="37"/>
      <c r="D1" s="37"/>
      <c r="E1" s="37"/>
      <c r="F1" s="37"/>
      <c r="G1" s="37"/>
      <c r="H1" s="37"/>
      <c r="I1" s="37"/>
      <c r="J1" s="37"/>
      <c r="K1" s="37"/>
    </row>
    <row r="2" spans="1:11" ht="19" customHeight="1" x14ac:dyDescent="0.35">
      <c r="A2" s="44" t="str">
        <f>"Tuần 01 – 08   │   "&amp;TEXT(NGAY_BAT_DAU+0,"dd/mm/yyyy")&amp;"  →  "&amp;TEXT(NGAY_BAT_DAU+55,"dd/mm/yyyy")&amp;"   │   6 tuần làm (T1–T6) + 2 tuần nguội (T7–T8)   │   QUÝ 1 — GIAI ĐOẠN 1: THẤU CẢM"</f>
        <v>Tuần 01 – 08   │   14/09/2026  →  08/11/2026   │   6 tuần làm (T1–T6) + 2 tuần nguội (T7–T8)   │   QUÝ 1 — GIAI ĐOẠN 1: THẤU CẢM</v>
      </c>
      <c r="B2" s="31"/>
      <c r="C2" s="31"/>
      <c r="D2" s="31"/>
      <c r="E2" s="31"/>
      <c r="F2" s="31"/>
      <c r="G2" s="31"/>
      <c r="H2" s="31"/>
      <c r="I2" s="31"/>
      <c r="J2" s="31"/>
      <c r="K2" s="31"/>
    </row>
    <row r="3" spans="1:11" ht="7" customHeight="1" x14ac:dyDescent="0.35"/>
    <row r="4" spans="1:11" ht="40" customHeight="1" x14ac:dyDescent="0.35">
      <c r="A4" s="4" t="s">
        <v>7</v>
      </c>
      <c r="B4" s="4" t="s">
        <v>8</v>
      </c>
      <c r="C4" s="4" t="s">
        <v>9</v>
      </c>
      <c r="D4" s="4" t="s">
        <v>10</v>
      </c>
      <c r="E4" s="4" t="s">
        <v>11</v>
      </c>
      <c r="F4" s="4" t="s">
        <v>12</v>
      </c>
      <c r="G4" s="4" t="s">
        <v>13</v>
      </c>
      <c r="H4" s="4" t="s">
        <v>14</v>
      </c>
      <c r="I4" s="4" t="s">
        <v>15</v>
      </c>
      <c r="J4" s="4" t="s">
        <v>16</v>
      </c>
      <c r="K4" s="4" t="s">
        <v>17</v>
      </c>
    </row>
    <row r="5" spans="1:11" ht="36" customHeight="1" x14ac:dyDescent="0.35">
      <c r="A5" s="32" t="str">
        <f>"📅 TUẦN 01  ·  "&amp;TEXT(NGAY_BAT_DAU+0,"dd/mm/yyyy")&amp;" – "&amp;TEXT(NGAY_BAT_DAU+6,"dd/mm/yyyy")&amp;"  —  Khởi động dự án (M1) — chốt cách làm việc  │  🎯 Mục tiêu: Ra khỏi tuần với 9 quyết định, ghế có tên, lịch họp đã gửi, và đủ vật liệu để phỏng vấn từ tuần 2.  │  💡 Cuối tuần bi"&amp;"ết được: Một câu «kinh doanh gì» cả nhóm nói giống nhau; 5 người thật là khách đầu tiên; ai cầm ghế nào với bao nhiêu giờ; 30–40 người sẽ được hỏi bằng kịch bản nào."</f>
        <v>📅 TUẦN 01  ·  14/09/2026 – 20/09/2026  —  Khởi động dự án (M1) — chốt cách làm việc  │  🎯 Mục tiêu: Ra khỏi tuần với 9 quyết định, ghế có tên, lịch họp đã gửi, và đủ vật liệu để phỏng vấn từ tuần 2.  │  💡 Cuối tuần biết được: Một câu «kinh doanh gì» cả nhóm nói giống nhau; 5 người thật là khách đầu tiên; ai cầm ghế nào với bao nhiêu giờ; 30–40 người sẽ được hỏi bằng kịch bản nào.</v>
      </c>
      <c r="B5" s="33"/>
      <c r="C5" s="33"/>
      <c r="D5" s="33"/>
      <c r="E5" s="33"/>
      <c r="F5" s="33"/>
      <c r="G5" s="33"/>
      <c r="H5" s="33"/>
      <c r="I5" s="33"/>
      <c r="J5" s="33"/>
      <c r="K5" s="33"/>
    </row>
    <row r="6" spans="1:11" ht="56.4" customHeight="1" x14ac:dyDescent="0.35">
      <c r="A6" s="5">
        <v>1</v>
      </c>
      <c r="B6" s="46" t="s">
        <v>18</v>
      </c>
      <c r="C6" s="6" t="s">
        <v>273</v>
      </c>
      <c r="D6" s="7" t="s">
        <v>274</v>
      </c>
      <c r="E6" s="7"/>
      <c r="F6" s="9" t="s">
        <v>275</v>
      </c>
      <c r="G6" s="10">
        <f>NGAY_BAT_DAU+0</f>
        <v>46279</v>
      </c>
      <c r="H6" s="10">
        <f t="shared" ref="H6:H16" si="0">NGAY_BAT_DAU+6</f>
        <v>46285</v>
      </c>
      <c r="I6" s="23" t="s">
        <v>276</v>
      </c>
      <c r="J6" s="7" t="s">
        <v>277</v>
      </c>
      <c r="K6" s="12"/>
    </row>
    <row r="7" spans="1:11" ht="69" customHeight="1" x14ac:dyDescent="0.35">
      <c r="A7" s="5">
        <v>2</v>
      </c>
      <c r="B7" s="39"/>
      <c r="C7" s="13" t="s">
        <v>278</v>
      </c>
      <c r="D7" s="14" t="s">
        <v>279</v>
      </c>
      <c r="E7" s="14"/>
      <c r="F7" s="16" t="s">
        <v>275</v>
      </c>
      <c r="G7" s="10">
        <f>NGAY_BAT_DAU+0</f>
        <v>46279</v>
      </c>
      <c r="H7" s="10">
        <f t="shared" si="0"/>
        <v>46285</v>
      </c>
      <c r="I7" s="23" t="s">
        <v>276</v>
      </c>
      <c r="J7" s="14" t="s">
        <v>280</v>
      </c>
      <c r="K7" s="17"/>
    </row>
    <row r="8" spans="1:11" ht="43.75" customHeight="1" x14ac:dyDescent="0.35">
      <c r="A8" s="5">
        <v>3</v>
      </c>
      <c r="B8" s="39"/>
      <c r="C8" s="6" t="s">
        <v>281</v>
      </c>
      <c r="D8" s="7" t="s">
        <v>282</v>
      </c>
      <c r="E8" s="7"/>
      <c r="F8" s="9" t="s">
        <v>197</v>
      </c>
      <c r="G8" s="10">
        <f t="shared" ref="G6:G16" si="1">NGAY_BAT_DAU+0</f>
        <v>46279</v>
      </c>
      <c r="H8" s="10">
        <f t="shared" si="0"/>
        <v>46285</v>
      </c>
      <c r="I8" s="23" t="s">
        <v>276</v>
      </c>
      <c r="J8" s="7" t="s">
        <v>283</v>
      </c>
      <c r="K8" s="12"/>
    </row>
    <row r="9" spans="1:11" ht="56.4" customHeight="1" x14ac:dyDescent="0.35">
      <c r="A9" s="5">
        <v>4</v>
      </c>
      <c r="B9" s="39"/>
      <c r="C9" s="13" t="s">
        <v>284</v>
      </c>
      <c r="D9" s="14" t="s">
        <v>285</v>
      </c>
      <c r="E9" s="14"/>
      <c r="F9" s="16" t="s">
        <v>286</v>
      </c>
      <c r="G9" s="10">
        <f t="shared" si="1"/>
        <v>46279</v>
      </c>
      <c r="H9" s="10">
        <f t="shared" si="0"/>
        <v>46285</v>
      </c>
      <c r="I9" s="23" t="s">
        <v>276</v>
      </c>
      <c r="J9" s="14" t="s">
        <v>287</v>
      </c>
      <c r="K9" s="17"/>
    </row>
    <row r="10" spans="1:11" ht="43.75" customHeight="1" x14ac:dyDescent="0.35">
      <c r="A10" s="5">
        <v>5</v>
      </c>
      <c r="B10" s="39"/>
      <c r="C10" s="6" t="s">
        <v>288</v>
      </c>
      <c r="D10" s="7" t="s">
        <v>289</v>
      </c>
      <c r="E10" s="7"/>
      <c r="F10" s="9" t="s">
        <v>290</v>
      </c>
      <c r="G10" s="10">
        <f t="shared" si="1"/>
        <v>46279</v>
      </c>
      <c r="H10" s="10">
        <f t="shared" si="0"/>
        <v>46285</v>
      </c>
      <c r="I10" s="23" t="s">
        <v>276</v>
      </c>
      <c r="J10" s="7" t="s">
        <v>291</v>
      </c>
      <c r="K10" s="12"/>
    </row>
    <row r="11" spans="1:11" ht="56.4" customHeight="1" x14ac:dyDescent="0.35">
      <c r="A11" s="5">
        <v>6</v>
      </c>
      <c r="B11" s="39"/>
      <c r="C11" s="13" t="s">
        <v>292</v>
      </c>
      <c r="D11" s="14" t="s">
        <v>293</v>
      </c>
      <c r="E11" s="14"/>
      <c r="F11" s="16" t="s">
        <v>286</v>
      </c>
      <c r="G11" s="10">
        <f t="shared" si="1"/>
        <v>46279</v>
      </c>
      <c r="H11" s="10">
        <f t="shared" si="0"/>
        <v>46285</v>
      </c>
      <c r="I11" s="23" t="s">
        <v>276</v>
      </c>
      <c r="J11" s="14" t="s">
        <v>294</v>
      </c>
      <c r="K11" s="17"/>
    </row>
    <row r="12" spans="1:11" ht="56.4" customHeight="1" x14ac:dyDescent="0.35">
      <c r="A12" s="5">
        <v>7</v>
      </c>
      <c r="B12" s="39"/>
      <c r="C12" s="6" t="s">
        <v>295</v>
      </c>
      <c r="D12" s="7" t="s">
        <v>296</v>
      </c>
      <c r="E12" s="7"/>
      <c r="F12" s="9" t="s">
        <v>197</v>
      </c>
      <c r="G12" s="10">
        <f t="shared" si="1"/>
        <v>46279</v>
      </c>
      <c r="H12" s="10">
        <f t="shared" si="0"/>
        <v>46285</v>
      </c>
      <c r="I12" s="23" t="s">
        <v>276</v>
      </c>
      <c r="J12" s="7" t="s">
        <v>297</v>
      </c>
      <c r="K12" s="12"/>
    </row>
    <row r="13" spans="1:11" ht="56.4" customHeight="1" x14ac:dyDescent="0.35">
      <c r="A13" s="5">
        <v>8</v>
      </c>
      <c r="B13" s="39"/>
      <c r="C13" s="13" t="s">
        <v>298</v>
      </c>
      <c r="D13" s="14" t="s">
        <v>299</v>
      </c>
      <c r="E13" s="14"/>
      <c r="F13" s="16" t="s">
        <v>300</v>
      </c>
      <c r="G13" s="10">
        <f t="shared" si="1"/>
        <v>46279</v>
      </c>
      <c r="H13" s="10">
        <f t="shared" si="0"/>
        <v>46285</v>
      </c>
      <c r="I13" s="23" t="s">
        <v>276</v>
      </c>
      <c r="J13" s="14" t="s">
        <v>301</v>
      </c>
      <c r="K13" s="17"/>
    </row>
    <row r="14" spans="1:11" ht="56.4" customHeight="1" x14ac:dyDescent="0.35">
      <c r="A14" s="5">
        <v>9</v>
      </c>
      <c r="B14" s="39"/>
      <c r="C14" s="6" t="s">
        <v>302</v>
      </c>
      <c r="D14" s="7" t="s">
        <v>303</v>
      </c>
      <c r="E14" s="7"/>
      <c r="F14" s="9" t="s">
        <v>290</v>
      </c>
      <c r="G14" s="10">
        <f t="shared" si="1"/>
        <v>46279</v>
      </c>
      <c r="H14" s="10">
        <f t="shared" si="0"/>
        <v>46285</v>
      </c>
      <c r="I14" s="23" t="s">
        <v>276</v>
      </c>
      <c r="J14" s="7" t="s">
        <v>304</v>
      </c>
      <c r="K14" s="12"/>
    </row>
    <row r="15" spans="1:11" ht="56.4" customHeight="1" x14ac:dyDescent="0.35">
      <c r="A15" s="5">
        <v>10</v>
      </c>
      <c r="B15" s="39"/>
      <c r="C15" s="13" t="s">
        <v>305</v>
      </c>
      <c r="D15" s="14" t="s">
        <v>306</v>
      </c>
      <c r="E15" s="14"/>
      <c r="F15" s="16" t="s">
        <v>300</v>
      </c>
      <c r="G15" s="10">
        <f t="shared" si="1"/>
        <v>46279</v>
      </c>
      <c r="H15" s="10">
        <f t="shared" si="0"/>
        <v>46285</v>
      </c>
      <c r="I15" s="23" t="s">
        <v>276</v>
      </c>
      <c r="J15" s="14" t="s">
        <v>307</v>
      </c>
      <c r="K15" s="17"/>
    </row>
    <row r="16" spans="1:11" ht="43.75" customHeight="1" x14ac:dyDescent="0.35">
      <c r="A16" s="5">
        <v>11</v>
      </c>
      <c r="B16" s="40"/>
      <c r="C16" s="6" t="s">
        <v>308</v>
      </c>
      <c r="D16" s="7" t="s">
        <v>309</v>
      </c>
      <c r="E16" s="7"/>
      <c r="F16" s="9" t="s">
        <v>290</v>
      </c>
      <c r="G16" s="10">
        <f t="shared" si="1"/>
        <v>46279</v>
      </c>
      <c r="H16" s="10">
        <f t="shared" si="0"/>
        <v>46285</v>
      </c>
      <c r="I16" s="23" t="s">
        <v>276</v>
      </c>
      <c r="J16" s="7" t="s">
        <v>310</v>
      </c>
      <c r="K16" s="12"/>
    </row>
    <row r="17" spans="1:11" ht="36" customHeight="1" x14ac:dyDescent="0.35">
      <c r="A17" s="32" t="str">
        <f>"📅 TUẦN 02  ·  "&amp;TEXT(NGAY_BAT_DAU+7,"dd/mm/yyyy")&amp;" – "&amp;TEXT(NGAY_BAT_DAU+13,"dd/mm/yyyy")&amp;"  —  Phỏng vấn thử · Số liệu thị trường · Đối thủ  │  🎯 Mục tiêu: Kịch bản chạy được trên người thật; thị trường có số có nguồn; đối thủ có ảnh chụp; tỉnh mục tiêu được chốt.  │  💡"&amp;" Cuối tuần biết được: Kịch bản v1 dùng được; đối thủ đang làm tốt gì và trống ở đâu; cỡ thị trường theo số có nguồn (hoặc biết chính xác còn thiếu biến nào); tỉnh mục tiêu và 10 đố"&amp;"i tác đầu."</f>
        <v>📅 TUẦN 02  ·  21/09/2026 – 27/09/2026  —  Phỏng vấn thử · Số liệu thị trường · Đối thủ  │  🎯 Mục tiêu: Kịch bản chạy được trên người thật; thị trường có số có nguồn; đối thủ có ảnh chụp; tỉnh mục tiêu được chốt.  │  💡 Cuối tuần biết được: Kịch bản v1 dùng được; đối thủ đang làm tốt gì và trống ở đâu; cỡ thị trường theo số có nguồn (hoặc biết chính xác còn thiếu biến nào); tỉnh mục tiêu và 10 đối tác đầu.</v>
      </c>
      <c r="B17" s="33"/>
      <c r="C17" s="33"/>
      <c r="D17" s="33"/>
      <c r="E17" s="33"/>
      <c r="F17" s="33"/>
      <c r="G17" s="33"/>
      <c r="H17" s="33"/>
      <c r="I17" s="33"/>
      <c r="J17" s="33"/>
      <c r="K17" s="33"/>
    </row>
    <row r="18" spans="1:11" ht="69" customHeight="1" x14ac:dyDescent="0.35">
      <c r="A18" s="5">
        <v>12</v>
      </c>
      <c r="B18" s="46" t="s">
        <v>18</v>
      </c>
      <c r="C18" s="13" t="s">
        <v>311</v>
      </c>
      <c r="D18" s="14" t="s">
        <v>312</v>
      </c>
      <c r="E18" s="14"/>
      <c r="F18" s="16" t="s">
        <v>286</v>
      </c>
      <c r="G18" s="10">
        <f t="shared" ref="G18:G23" si="2">NGAY_BAT_DAU+7</f>
        <v>46286</v>
      </c>
      <c r="H18" s="10">
        <f t="shared" ref="H18:H23" si="3">NGAY_BAT_DAU+13</f>
        <v>46292</v>
      </c>
      <c r="I18" s="23" t="s">
        <v>276</v>
      </c>
      <c r="J18" s="14" t="s">
        <v>313</v>
      </c>
      <c r="K18" s="17"/>
    </row>
    <row r="19" spans="1:11" ht="69" customHeight="1" x14ac:dyDescent="0.35">
      <c r="A19" s="5">
        <v>13</v>
      </c>
      <c r="B19" s="39"/>
      <c r="C19" s="6" t="s">
        <v>314</v>
      </c>
      <c r="D19" s="7" t="s">
        <v>315</v>
      </c>
      <c r="E19" s="7"/>
      <c r="F19" s="9" t="s">
        <v>316</v>
      </c>
      <c r="G19" s="10">
        <f t="shared" si="2"/>
        <v>46286</v>
      </c>
      <c r="H19" s="10">
        <f t="shared" si="3"/>
        <v>46292</v>
      </c>
      <c r="I19" s="23" t="s">
        <v>276</v>
      </c>
      <c r="J19" s="7" t="s">
        <v>317</v>
      </c>
      <c r="K19" s="12"/>
    </row>
    <row r="20" spans="1:11" ht="69" customHeight="1" x14ac:dyDescent="0.35">
      <c r="A20" s="5">
        <v>14</v>
      </c>
      <c r="B20" s="39"/>
      <c r="C20" s="13" t="s">
        <v>318</v>
      </c>
      <c r="D20" s="14" t="s">
        <v>319</v>
      </c>
      <c r="E20" s="14"/>
      <c r="F20" s="16" t="s">
        <v>290</v>
      </c>
      <c r="G20" s="10">
        <f t="shared" si="2"/>
        <v>46286</v>
      </c>
      <c r="H20" s="10">
        <f t="shared" si="3"/>
        <v>46292</v>
      </c>
      <c r="I20" s="23" t="s">
        <v>276</v>
      </c>
      <c r="J20" s="14" t="s">
        <v>320</v>
      </c>
      <c r="K20" s="17"/>
    </row>
    <row r="21" spans="1:11" ht="69" customHeight="1" x14ac:dyDescent="0.35">
      <c r="A21" s="5">
        <v>15</v>
      </c>
      <c r="B21" s="39"/>
      <c r="C21" s="6" t="s">
        <v>321</v>
      </c>
      <c r="D21" s="7" t="s">
        <v>322</v>
      </c>
      <c r="E21" s="7"/>
      <c r="F21" s="9" t="s">
        <v>323</v>
      </c>
      <c r="G21" s="10">
        <f t="shared" si="2"/>
        <v>46286</v>
      </c>
      <c r="H21" s="10">
        <f t="shared" si="3"/>
        <v>46292</v>
      </c>
      <c r="I21" s="23" t="s">
        <v>276</v>
      </c>
      <c r="J21" s="7" t="s">
        <v>324</v>
      </c>
      <c r="K21" s="12"/>
    </row>
    <row r="22" spans="1:11" ht="56.4" customHeight="1" x14ac:dyDescent="0.35">
      <c r="A22" s="5">
        <v>16</v>
      </c>
      <c r="B22" s="39"/>
      <c r="C22" s="13" t="s">
        <v>325</v>
      </c>
      <c r="D22" s="14" t="s">
        <v>326</v>
      </c>
      <c r="E22" s="14"/>
      <c r="F22" s="16" t="s">
        <v>323</v>
      </c>
      <c r="G22" s="10">
        <f t="shared" si="2"/>
        <v>46286</v>
      </c>
      <c r="H22" s="10">
        <f t="shared" si="3"/>
        <v>46292</v>
      </c>
      <c r="I22" s="23" t="s">
        <v>276</v>
      </c>
      <c r="J22" s="14" t="s">
        <v>327</v>
      </c>
      <c r="K22" s="17"/>
    </row>
    <row r="23" spans="1:11" ht="43.75" customHeight="1" x14ac:dyDescent="0.35">
      <c r="A23" s="5">
        <v>17</v>
      </c>
      <c r="B23" s="40"/>
      <c r="C23" s="6" t="s">
        <v>328</v>
      </c>
      <c r="D23" s="7" t="s">
        <v>329</v>
      </c>
      <c r="E23" s="7"/>
      <c r="F23" s="9" t="s">
        <v>290</v>
      </c>
      <c r="G23" s="10">
        <f t="shared" si="2"/>
        <v>46286</v>
      </c>
      <c r="H23" s="10">
        <f t="shared" si="3"/>
        <v>46292</v>
      </c>
      <c r="I23" s="23" t="s">
        <v>276</v>
      </c>
      <c r="J23" s="7" t="s">
        <v>330</v>
      </c>
      <c r="K23" s="12"/>
    </row>
    <row r="24" spans="1:11" ht="36" customHeight="1" x14ac:dyDescent="0.35">
      <c r="A24" s="32" t="str">
        <f>"📅 TUẦN 03  ·  "&amp;TEXT(NGAY_BAT_DAU+14,"dd/mm/yyyy")&amp;" – "&amp;TEXT(NGAY_BAT_DAU+20,"dd/mm/yyyy")&amp;"  —  Phỏng vấn đợt 1 · Ký thoả thuận đồng sáng lập (M3)  │  🎯 Mục tiêu: ≥ 8 phỏng vấn có tệp; thoả thuận đồng sáng lập ký; họp tuần theo cấu trúc Level 10 lần đầu.  │  💡 Cuối tuần "&amp;"biết được: Nỗi đau nào xuất hiện ≥ 2 lần trong 8 cuộc đầu; đối tác đang tìm khách trẻ bằng kênh gì và tốn bao nhiêu."</f>
        <v>📅 TUẦN 03  ·  28/09/2026 – 04/10/2026  —  Phỏng vấn đợt 1 · Ký thoả thuận đồng sáng lập (M3)  │  🎯 Mục tiêu: ≥ 8 phỏng vấn có tệp; thoả thuận đồng sáng lập ký; họp tuần theo cấu trúc Level 10 lần đầu.  │  💡 Cuối tuần biết được: Nỗi đau nào xuất hiện ≥ 2 lần trong 8 cuộc đầu; đối tác đang tìm khách trẻ bằng kênh gì và tốn bao nhiêu.</v>
      </c>
      <c r="B24" s="33"/>
      <c r="C24" s="33"/>
      <c r="D24" s="33"/>
      <c r="E24" s="33"/>
      <c r="F24" s="33"/>
      <c r="G24" s="33"/>
      <c r="H24" s="33"/>
      <c r="I24" s="33"/>
      <c r="J24" s="33"/>
      <c r="K24" s="33"/>
    </row>
    <row r="25" spans="1:11" ht="69" customHeight="1" x14ac:dyDescent="0.35">
      <c r="A25" s="5">
        <v>18</v>
      </c>
      <c r="B25" s="46" t="s">
        <v>18</v>
      </c>
      <c r="C25" s="13" t="s">
        <v>331</v>
      </c>
      <c r="D25" s="14" t="s">
        <v>332</v>
      </c>
      <c r="E25" s="14"/>
      <c r="F25" s="16" t="s">
        <v>197</v>
      </c>
      <c r="G25" s="10">
        <f t="shared" ref="G25:G30" si="4">NGAY_BAT_DAU+14</f>
        <v>46293</v>
      </c>
      <c r="H25" s="10">
        <f t="shared" ref="H25:H30" si="5">NGAY_BAT_DAU+20</f>
        <v>46299</v>
      </c>
      <c r="I25" s="23" t="s">
        <v>276</v>
      </c>
      <c r="J25" s="14" t="s">
        <v>333</v>
      </c>
      <c r="K25" s="17"/>
    </row>
    <row r="26" spans="1:11" ht="81.650000000000006" customHeight="1" x14ac:dyDescent="0.35">
      <c r="A26" s="5">
        <v>19</v>
      </c>
      <c r="B26" s="39"/>
      <c r="C26" s="6" t="s">
        <v>334</v>
      </c>
      <c r="D26" s="7" t="s">
        <v>335</v>
      </c>
      <c r="E26" s="7"/>
      <c r="F26" s="9" t="s">
        <v>290</v>
      </c>
      <c r="G26" s="10">
        <f t="shared" si="4"/>
        <v>46293</v>
      </c>
      <c r="H26" s="10">
        <f t="shared" si="5"/>
        <v>46299</v>
      </c>
      <c r="I26" s="23" t="s">
        <v>276</v>
      </c>
      <c r="J26" s="7" t="s">
        <v>336</v>
      </c>
      <c r="K26" s="12"/>
    </row>
    <row r="27" spans="1:11" ht="56.4" customHeight="1" x14ac:dyDescent="0.35">
      <c r="A27" s="5">
        <v>20</v>
      </c>
      <c r="B27" s="39"/>
      <c r="C27" s="13" t="s">
        <v>337</v>
      </c>
      <c r="D27" s="14" t="s">
        <v>338</v>
      </c>
      <c r="E27" s="14"/>
      <c r="F27" s="16" t="s">
        <v>290</v>
      </c>
      <c r="G27" s="10">
        <f t="shared" si="4"/>
        <v>46293</v>
      </c>
      <c r="H27" s="10">
        <f t="shared" si="5"/>
        <v>46299</v>
      </c>
      <c r="I27" s="23" t="s">
        <v>276</v>
      </c>
      <c r="J27" s="14" t="s">
        <v>339</v>
      </c>
      <c r="K27" s="17"/>
    </row>
    <row r="28" spans="1:11" ht="43.75" customHeight="1" x14ac:dyDescent="0.35">
      <c r="A28" s="5">
        <v>21</v>
      </c>
      <c r="B28" s="39"/>
      <c r="C28" s="6" t="s">
        <v>340</v>
      </c>
      <c r="D28" s="7" t="s">
        <v>341</v>
      </c>
      <c r="E28" s="7"/>
      <c r="F28" s="9" t="s">
        <v>290</v>
      </c>
      <c r="G28" s="10">
        <f t="shared" si="4"/>
        <v>46293</v>
      </c>
      <c r="H28" s="10">
        <f t="shared" si="5"/>
        <v>46299</v>
      </c>
      <c r="I28" s="23" t="s">
        <v>276</v>
      </c>
      <c r="J28" s="7" t="s">
        <v>342</v>
      </c>
      <c r="K28" s="12"/>
    </row>
    <row r="29" spans="1:11" ht="81.650000000000006" customHeight="1" x14ac:dyDescent="0.35">
      <c r="A29" s="5">
        <v>22</v>
      </c>
      <c r="B29" s="39"/>
      <c r="C29" s="13" t="s">
        <v>343</v>
      </c>
      <c r="D29" s="14" t="s">
        <v>344</v>
      </c>
      <c r="E29" s="14"/>
      <c r="F29" s="16" t="s">
        <v>323</v>
      </c>
      <c r="G29" s="10">
        <f t="shared" si="4"/>
        <v>46293</v>
      </c>
      <c r="H29" s="10">
        <f t="shared" si="5"/>
        <v>46299</v>
      </c>
      <c r="I29" s="23" t="s">
        <v>276</v>
      </c>
      <c r="J29" s="14" t="s">
        <v>345</v>
      </c>
      <c r="K29" s="17"/>
    </row>
    <row r="30" spans="1:11" ht="69" customHeight="1" x14ac:dyDescent="0.35">
      <c r="A30" s="5">
        <v>23</v>
      </c>
      <c r="B30" s="40"/>
      <c r="C30" s="6" t="s">
        <v>346</v>
      </c>
      <c r="D30" s="7" t="s">
        <v>347</v>
      </c>
      <c r="E30" s="7"/>
      <c r="F30" s="9" t="s">
        <v>275</v>
      </c>
      <c r="G30" s="10">
        <f t="shared" si="4"/>
        <v>46293</v>
      </c>
      <c r="H30" s="10">
        <f t="shared" si="5"/>
        <v>46299</v>
      </c>
      <c r="I30" s="23" t="s">
        <v>276</v>
      </c>
      <c r="J30" s="7" t="s">
        <v>348</v>
      </c>
      <c r="K30" s="12"/>
    </row>
    <row r="31" spans="1:11" ht="36" customHeight="1" x14ac:dyDescent="0.35">
      <c r="A31" s="32" t="str">
        <f>"📅 TUẦN 04  ·  "&amp;TEXT(NGAY_BAT_DAU+21,"dd/mm/yyyy")&amp;" – "&amp;TEXT(NGAY_BAT_DAU+27,"dd/mm/yyyy")&amp;"  —  Phỏng vấn ≥ 16 · Nhãn hiệu · Affiliate  │  🎯 Mục tiêu: Cộng dồn 16 phỏng vấn; biết tên Levart dùng được không; biết affiliate mở cho ai; sẵn câu hỏi cho buổi luật.  │  💡 Cuối "&amp;"tuần biết được: Tên dùng được hay phải đổi; chương trình affiliate nào mở cho nhóm/DN mới; nỗi đau nào đang dẫn đầu bảng đếm."</f>
        <v>📅 TUẦN 04  ·  05/10/2026 – 11/10/2026  —  Phỏng vấn ≥ 16 · Nhãn hiệu · Affiliate  │  🎯 Mục tiêu: Cộng dồn 16 phỏng vấn; biết tên Levart dùng được không; biết affiliate mở cho ai; sẵn câu hỏi cho buổi luật.  │  💡 Cuối tuần biết được: Tên dùng được hay phải đổi; chương trình affiliate nào mở cho nhóm/DN mới; nỗi đau nào đang dẫn đầu bảng đếm.</v>
      </c>
      <c r="B31" s="33"/>
      <c r="C31" s="33"/>
      <c r="D31" s="33"/>
      <c r="E31" s="33"/>
      <c r="F31" s="33"/>
      <c r="G31" s="33"/>
      <c r="H31" s="33"/>
      <c r="I31" s="33"/>
      <c r="J31" s="33"/>
      <c r="K31" s="33"/>
    </row>
    <row r="32" spans="1:11" ht="31.25" customHeight="1" x14ac:dyDescent="0.35">
      <c r="A32" s="5">
        <v>24</v>
      </c>
      <c r="B32" s="46" t="s">
        <v>18</v>
      </c>
      <c r="C32" s="13" t="s">
        <v>349</v>
      </c>
      <c r="D32" s="14" t="s">
        <v>350</v>
      </c>
      <c r="E32" s="14"/>
      <c r="F32" s="16" t="s">
        <v>197</v>
      </c>
      <c r="G32" s="10">
        <f t="shared" ref="G32:G39" si="6">NGAY_BAT_DAU+21</f>
        <v>46300</v>
      </c>
      <c r="H32" s="10">
        <f t="shared" ref="H32:H39" si="7">NGAY_BAT_DAU+27</f>
        <v>46306</v>
      </c>
      <c r="I32" s="23" t="s">
        <v>276</v>
      </c>
      <c r="J32" s="14" t="s">
        <v>351</v>
      </c>
      <c r="K32" s="17"/>
    </row>
    <row r="33" spans="1:11" ht="69" customHeight="1" x14ac:dyDescent="0.35">
      <c r="A33" s="5">
        <v>25</v>
      </c>
      <c r="B33" s="39"/>
      <c r="C33" s="6" t="s">
        <v>352</v>
      </c>
      <c r="D33" s="7" t="s">
        <v>353</v>
      </c>
      <c r="E33" s="7"/>
      <c r="F33" s="9" t="s">
        <v>286</v>
      </c>
      <c r="G33" s="10">
        <f t="shared" si="6"/>
        <v>46300</v>
      </c>
      <c r="H33" s="10">
        <f t="shared" si="7"/>
        <v>46306</v>
      </c>
      <c r="I33" s="23" t="s">
        <v>276</v>
      </c>
      <c r="J33" s="7" t="s">
        <v>354</v>
      </c>
      <c r="K33" s="12"/>
    </row>
    <row r="34" spans="1:11" ht="81.650000000000006" customHeight="1" x14ac:dyDescent="0.35">
      <c r="A34" s="5">
        <v>26</v>
      </c>
      <c r="B34" s="39"/>
      <c r="C34" s="13" t="s">
        <v>355</v>
      </c>
      <c r="D34" s="14" t="s">
        <v>356</v>
      </c>
      <c r="E34" s="14"/>
      <c r="F34" s="16" t="s">
        <v>290</v>
      </c>
      <c r="G34" s="10">
        <f t="shared" si="6"/>
        <v>46300</v>
      </c>
      <c r="H34" s="10">
        <f t="shared" si="7"/>
        <v>46306</v>
      </c>
      <c r="I34" s="23" t="s">
        <v>276</v>
      </c>
      <c r="J34" s="14" t="s">
        <v>357</v>
      </c>
      <c r="K34" s="17"/>
    </row>
    <row r="35" spans="1:11" ht="43.75" customHeight="1" x14ac:dyDescent="0.35">
      <c r="A35" s="5">
        <v>27</v>
      </c>
      <c r="B35" s="39"/>
      <c r="C35" s="6" t="s">
        <v>358</v>
      </c>
      <c r="D35" s="7" t="s">
        <v>359</v>
      </c>
      <c r="E35" s="7"/>
      <c r="F35" s="9" t="s">
        <v>290</v>
      </c>
      <c r="G35" s="10">
        <f t="shared" si="6"/>
        <v>46300</v>
      </c>
      <c r="H35" s="10">
        <f t="shared" si="7"/>
        <v>46306</v>
      </c>
      <c r="I35" s="23" t="s">
        <v>276</v>
      </c>
      <c r="J35" s="7" t="s">
        <v>360</v>
      </c>
      <c r="K35" s="12"/>
    </row>
    <row r="36" spans="1:11" ht="43.75" customHeight="1" x14ac:dyDescent="0.35">
      <c r="A36" s="5">
        <v>28</v>
      </c>
      <c r="B36" s="39"/>
      <c r="C36" s="13" t="s">
        <v>361</v>
      </c>
      <c r="D36" s="14" t="s">
        <v>362</v>
      </c>
      <c r="E36" s="14"/>
      <c r="F36" s="16" t="s">
        <v>290</v>
      </c>
      <c r="G36" s="10">
        <f t="shared" si="6"/>
        <v>46300</v>
      </c>
      <c r="H36" s="10">
        <f t="shared" si="7"/>
        <v>46306</v>
      </c>
      <c r="I36" s="23" t="s">
        <v>276</v>
      </c>
      <c r="J36" s="14" t="s">
        <v>363</v>
      </c>
      <c r="K36" s="17"/>
    </row>
    <row r="37" spans="1:11" ht="28" customHeight="1" x14ac:dyDescent="0.35">
      <c r="A37" s="5">
        <v>29</v>
      </c>
      <c r="B37" s="39"/>
      <c r="C37" s="6" t="s">
        <v>364</v>
      </c>
      <c r="D37" s="7" t="s">
        <v>350</v>
      </c>
      <c r="E37" s="7"/>
      <c r="F37" s="9" t="s">
        <v>323</v>
      </c>
      <c r="G37" s="10">
        <f t="shared" si="6"/>
        <v>46300</v>
      </c>
      <c r="H37" s="10">
        <f t="shared" si="7"/>
        <v>46306</v>
      </c>
      <c r="I37" s="23" t="s">
        <v>276</v>
      </c>
      <c r="J37" s="7" t="s">
        <v>365</v>
      </c>
      <c r="K37" s="12"/>
    </row>
    <row r="38" spans="1:11" ht="69" customHeight="1" x14ac:dyDescent="0.35">
      <c r="A38" s="5">
        <v>30</v>
      </c>
      <c r="B38" s="39"/>
      <c r="C38" s="13" t="s">
        <v>366</v>
      </c>
      <c r="D38" s="14" t="s">
        <v>367</v>
      </c>
      <c r="E38" s="14"/>
      <c r="F38" s="16" t="s">
        <v>323</v>
      </c>
      <c r="G38" s="10">
        <f t="shared" si="6"/>
        <v>46300</v>
      </c>
      <c r="H38" s="10">
        <f t="shared" si="7"/>
        <v>46306</v>
      </c>
      <c r="I38" s="23" t="s">
        <v>276</v>
      </c>
      <c r="J38" s="14" t="s">
        <v>368</v>
      </c>
      <c r="K38" s="17"/>
    </row>
    <row r="39" spans="1:11" ht="43.75" customHeight="1" x14ac:dyDescent="0.35">
      <c r="A39" s="5">
        <v>31</v>
      </c>
      <c r="B39" s="40"/>
      <c r="C39" s="6" t="s">
        <v>369</v>
      </c>
      <c r="D39" s="7" t="s">
        <v>370</v>
      </c>
      <c r="E39" s="7"/>
      <c r="F39" s="9" t="s">
        <v>300</v>
      </c>
      <c r="G39" s="10">
        <f t="shared" si="6"/>
        <v>46300</v>
      </c>
      <c r="H39" s="10">
        <f t="shared" si="7"/>
        <v>46306</v>
      </c>
      <c r="I39" s="23" t="s">
        <v>276</v>
      </c>
      <c r="J39" s="7" t="s">
        <v>371</v>
      </c>
      <c r="K39" s="12"/>
    </row>
    <row r="40" spans="1:11" ht="36" customHeight="1" x14ac:dyDescent="0.35">
      <c r="A40" s="32" t="str">
        <f>"📅 TUẦN 05  ·  "&amp;TEXT(NGAY_BAT_DAU+28,"dd/mm/yyyy")&amp;" – "&amp;TEXT(NGAY_BAT_DAU+34,"dd/mm/yyyy")&amp;"  —  Phỏng vấn ≥ 24 · Buổi hỏi luật  │  🎯 Mục tiêu: Cộng dồn 24 phỏng vấn; có câu trả lời thật cho 5 câu luật; biết ai đau nhất; biết đối tác nào sẵn lòng thử.  │  💡 Cuối tuần biết"&amp;" được: Dưới 1.000 người có phải thông báo mạng xã hội không; khách ẩn danh có được đăng bài không; khi nào bắt buộc lập doanh nghiệp; phân khúc nào đau nhất; loại du lịch phổ biến "&amp;"trong đầu cầu."</f>
        <v>📅 TUẦN 05  ·  12/10/2026 – 18/10/2026  —  Phỏng vấn ≥ 24 · Buổi hỏi luật  │  🎯 Mục tiêu: Cộng dồn 24 phỏng vấn; có câu trả lời thật cho 5 câu luật; biết ai đau nhất; biết đối tác nào sẵn lòng thử.  │  💡 Cuối tuần biết được: Dưới 1.000 người có phải thông báo mạng xã hội không; khách ẩn danh có được đăng bài không; khi nào bắt buộc lập doanh nghiệp; phân khúc nào đau nhất; loại du lịch phổ biến trong đầu cầu.</v>
      </c>
      <c r="B40" s="33"/>
      <c r="C40" s="33"/>
      <c r="D40" s="33"/>
      <c r="E40" s="33"/>
      <c r="F40" s="33"/>
      <c r="G40" s="33"/>
      <c r="H40" s="33"/>
      <c r="I40" s="33"/>
      <c r="J40" s="33"/>
      <c r="K40" s="33"/>
    </row>
    <row r="41" spans="1:11" ht="31.25" customHeight="1" x14ac:dyDescent="0.35">
      <c r="A41" s="5">
        <v>32</v>
      </c>
      <c r="B41" s="46" t="s">
        <v>18</v>
      </c>
      <c r="C41" s="13" t="s">
        <v>372</v>
      </c>
      <c r="D41" s="14" t="s">
        <v>350</v>
      </c>
      <c r="E41" s="14"/>
      <c r="F41" s="16" t="s">
        <v>197</v>
      </c>
      <c r="G41" s="10">
        <f t="shared" ref="G41:G46" si="8">NGAY_BAT_DAU+28</f>
        <v>46307</v>
      </c>
      <c r="H41" s="10">
        <f t="shared" ref="H41:H46" si="9">NGAY_BAT_DAU+34</f>
        <v>46313</v>
      </c>
      <c r="I41" s="23" t="s">
        <v>276</v>
      </c>
      <c r="J41" s="14" t="s">
        <v>373</v>
      </c>
      <c r="K41" s="17"/>
    </row>
    <row r="42" spans="1:11" ht="56.4" customHeight="1" x14ac:dyDescent="0.35">
      <c r="A42" s="5">
        <v>33</v>
      </c>
      <c r="B42" s="39"/>
      <c r="C42" s="6" t="s">
        <v>374</v>
      </c>
      <c r="D42" s="7" t="s">
        <v>375</v>
      </c>
      <c r="E42" s="7"/>
      <c r="F42" s="9" t="s">
        <v>286</v>
      </c>
      <c r="G42" s="10">
        <f t="shared" si="8"/>
        <v>46307</v>
      </c>
      <c r="H42" s="10">
        <f t="shared" si="9"/>
        <v>46313</v>
      </c>
      <c r="I42" s="23" t="s">
        <v>276</v>
      </c>
      <c r="J42" s="7" t="s">
        <v>376</v>
      </c>
      <c r="K42" s="12"/>
    </row>
    <row r="43" spans="1:11" ht="69" customHeight="1" x14ac:dyDescent="0.35">
      <c r="A43" s="5">
        <v>34</v>
      </c>
      <c r="B43" s="39"/>
      <c r="C43" s="13" t="s">
        <v>377</v>
      </c>
      <c r="D43" s="14" t="s">
        <v>378</v>
      </c>
      <c r="E43" s="14"/>
      <c r="F43" s="16" t="s">
        <v>290</v>
      </c>
      <c r="G43" s="10">
        <f t="shared" si="8"/>
        <v>46307</v>
      </c>
      <c r="H43" s="10">
        <f t="shared" si="9"/>
        <v>46313</v>
      </c>
      <c r="I43" s="23" t="s">
        <v>276</v>
      </c>
      <c r="J43" s="14" t="s">
        <v>379</v>
      </c>
      <c r="K43" s="17"/>
    </row>
    <row r="44" spans="1:11" ht="43.75" customHeight="1" x14ac:dyDescent="0.35">
      <c r="A44" s="5">
        <v>35</v>
      </c>
      <c r="B44" s="39"/>
      <c r="C44" s="6" t="s">
        <v>380</v>
      </c>
      <c r="D44" s="7" t="s">
        <v>381</v>
      </c>
      <c r="E44" s="7"/>
      <c r="F44" s="9" t="s">
        <v>290</v>
      </c>
      <c r="G44" s="10">
        <f t="shared" si="8"/>
        <v>46307</v>
      </c>
      <c r="H44" s="10">
        <f t="shared" si="9"/>
        <v>46313</v>
      </c>
      <c r="I44" s="23" t="s">
        <v>276</v>
      </c>
      <c r="J44" s="7" t="s">
        <v>382</v>
      </c>
      <c r="K44" s="12"/>
    </row>
    <row r="45" spans="1:11" ht="56.4" customHeight="1" x14ac:dyDescent="0.35">
      <c r="A45" s="5">
        <v>36</v>
      </c>
      <c r="B45" s="39"/>
      <c r="C45" s="13" t="s">
        <v>383</v>
      </c>
      <c r="D45" s="14" t="s">
        <v>384</v>
      </c>
      <c r="E45" s="14"/>
      <c r="F45" s="16" t="s">
        <v>323</v>
      </c>
      <c r="G45" s="10">
        <f t="shared" si="8"/>
        <v>46307</v>
      </c>
      <c r="H45" s="10">
        <f t="shared" si="9"/>
        <v>46313</v>
      </c>
      <c r="I45" s="23" t="s">
        <v>276</v>
      </c>
      <c r="J45" s="14" t="s">
        <v>385</v>
      </c>
      <c r="K45" s="17"/>
    </row>
    <row r="46" spans="1:11" ht="56.4" customHeight="1" x14ac:dyDescent="0.35">
      <c r="A46" s="5">
        <v>37</v>
      </c>
      <c r="B46" s="40"/>
      <c r="C46" s="6" t="s">
        <v>386</v>
      </c>
      <c r="D46" s="7" t="s">
        <v>387</v>
      </c>
      <c r="E46" s="7"/>
      <c r="F46" s="9" t="s">
        <v>275</v>
      </c>
      <c r="G46" s="10">
        <f t="shared" si="8"/>
        <v>46307</v>
      </c>
      <c r="H46" s="10">
        <f t="shared" si="9"/>
        <v>46313</v>
      </c>
      <c r="I46" s="23" t="s">
        <v>276</v>
      </c>
      <c r="J46" s="7" t="s">
        <v>388</v>
      </c>
      <c r="K46" s="12"/>
    </row>
    <row r="47" spans="1:11" ht="36" customHeight="1" x14ac:dyDescent="0.35">
      <c r="A47" s="32" t="str">
        <f>"📅 TUẦN 06  ·  "&amp;TEXT(NGAY_BAT_DAU+35,"dd/mm/yyyy")&amp;" – "&amp;TEXT(NGAY_BAT_DAU+41,"dd/mm/yyyy")&amp;"  —  Phỏng vấn ≥ 30 · Rủi ro · Tình huống ngoại lệ  │  🎯 Mục tiêu: Đủ 30 phỏng vấn; sổ rủi ro v1 có người theo dõi; bảng tình huống của tỉnh; luồng to-be nháp.  │  💡 Cuối tuần biết"&amp;" được: Top 5 rủi ro và cái nào kiểm được trong 6 tuần tới; tình huống thật của tỉnh mục tiêu; 30 tệp đủ để tổng hợp."</f>
        <v>📅 TUẦN 06  ·  19/10/2026 – 25/10/2026  —  Phỏng vấn ≥ 30 · Rủi ro · Tình huống ngoại lệ  │  🎯 Mục tiêu: Đủ 30 phỏng vấn; sổ rủi ro v1 có người theo dõi; bảng tình huống của tỉnh; luồng to-be nháp.  │  💡 Cuối tuần biết được: Top 5 rủi ro và cái nào kiểm được trong 6 tuần tới; tình huống thật của tỉnh mục tiêu; 30 tệp đủ để tổng hợp.</v>
      </c>
      <c r="B47" s="33"/>
      <c r="C47" s="33"/>
      <c r="D47" s="33"/>
      <c r="E47" s="33"/>
      <c r="F47" s="33"/>
      <c r="G47" s="33"/>
      <c r="H47" s="33"/>
      <c r="I47" s="33"/>
      <c r="J47" s="33"/>
      <c r="K47" s="33"/>
    </row>
    <row r="48" spans="1:11" ht="31.25" customHeight="1" x14ac:dyDescent="0.35">
      <c r="A48" s="5">
        <v>38</v>
      </c>
      <c r="B48" s="46" t="s">
        <v>18</v>
      </c>
      <c r="C48" s="13" t="s">
        <v>389</v>
      </c>
      <c r="D48" s="14" t="s">
        <v>350</v>
      </c>
      <c r="E48" s="14"/>
      <c r="F48" s="16" t="s">
        <v>197</v>
      </c>
      <c r="G48" s="10">
        <f>NGAY_BAT_DAU+35</f>
        <v>46314</v>
      </c>
      <c r="H48" s="10">
        <f>NGAY_BAT_DAU+41</f>
        <v>46320</v>
      </c>
      <c r="I48" s="23" t="s">
        <v>276</v>
      </c>
      <c r="J48" s="14" t="s">
        <v>390</v>
      </c>
      <c r="K48" s="17"/>
    </row>
    <row r="49" spans="1:11" ht="81.650000000000006" customHeight="1" x14ac:dyDescent="0.35">
      <c r="A49" s="5">
        <v>39</v>
      </c>
      <c r="B49" s="39"/>
      <c r="C49" s="6" t="s">
        <v>391</v>
      </c>
      <c r="D49" s="7" t="s">
        <v>392</v>
      </c>
      <c r="E49" s="7"/>
      <c r="F49" s="9" t="s">
        <v>290</v>
      </c>
      <c r="G49" s="10">
        <f>NGAY_BAT_DAU+35</f>
        <v>46314</v>
      </c>
      <c r="H49" s="10">
        <f>NGAY_BAT_DAU+41</f>
        <v>46320</v>
      </c>
      <c r="I49" s="23" t="s">
        <v>276</v>
      </c>
      <c r="J49" s="7" t="s">
        <v>393</v>
      </c>
      <c r="K49" s="12"/>
    </row>
    <row r="50" spans="1:11" ht="94.25" customHeight="1" x14ac:dyDescent="0.35">
      <c r="A50" s="5">
        <v>40</v>
      </c>
      <c r="B50" s="39"/>
      <c r="C50" s="13" t="s">
        <v>394</v>
      </c>
      <c r="D50" s="14" t="s">
        <v>395</v>
      </c>
      <c r="E50" s="14"/>
      <c r="F50" s="16" t="s">
        <v>323</v>
      </c>
      <c r="G50" s="10">
        <f>NGAY_BAT_DAU+35</f>
        <v>46314</v>
      </c>
      <c r="H50" s="10">
        <f>NGAY_BAT_DAU+41</f>
        <v>46320</v>
      </c>
      <c r="I50" s="23" t="s">
        <v>276</v>
      </c>
      <c r="J50" s="14" t="s">
        <v>396</v>
      </c>
      <c r="K50" s="17"/>
    </row>
    <row r="51" spans="1:11" ht="43.75" customHeight="1" x14ac:dyDescent="0.35">
      <c r="A51" s="5">
        <v>41</v>
      </c>
      <c r="B51" s="39"/>
      <c r="C51" s="6" t="s">
        <v>397</v>
      </c>
      <c r="D51" s="7" t="s">
        <v>398</v>
      </c>
      <c r="E51" s="7"/>
      <c r="F51" s="9" t="s">
        <v>300</v>
      </c>
      <c r="G51" s="10">
        <f>NGAY_BAT_DAU+35</f>
        <v>46314</v>
      </c>
      <c r="H51" s="10">
        <f>NGAY_BAT_DAU+41</f>
        <v>46320</v>
      </c>
      <c r="I51" s="23" t="s">
        <v>276</v>
      </c>
      <c r="J51" s="7" t="s">
        <v>399</v>
      </c>
      <c r="K51" s="12"/>
    </row>
    <row r="52" spans="1:11" ht="43.75" customHeight="1" x14ac:dyDescent="0.35">
      <c r="A52" s="5">
        <v>42</v>
      </c>
      <c r="B52" s="40"/>
      <c r="C52" s="13" t="s">
        <v>400</v>
      </c>
      <c r="D52" s="14" t="s">
        <v>401</v>
      </c>
      <c r="E52" s="14"/>
      <c r="F52" s="16" t="s">
        <v>286</v>
      </c>
      <c r="G52" s="10">
        <f>NGAY_BAT_DAU+35</f>
        <v>46314</v>
      </c>
      <c r="H52" s="10">
        <f>NGAY_BAT_DAU+41</f>
        <v>46320</v>
      </c>
      <c r="I52" s="23" t="s">
        <v>276</v>
      </c>
      <c r="J52" s="14" t="s">
        <v>402</v>
      </c>
      <c r="K52" s="17"/>
    </row>
    <row r="53" spans="1:11" ht="36" customHeight="1" x14ac:dyDescent="0.35">
      <c r="A53" s="32" t="str">
        <f>"📅 TUẦN 07  ·  "&amp;TEXT(NGAY_BAT_DAU+42,"dd/mm/yyyy")&amp;" – "&amp;TEXT(NGAY_BAT_DAU+48,"dd/mm/yyyy")&amp;"  —  NGUỘI · Kết chu kỳ 1 (M7) — phân tích 30 phỏng vấn  │  🎯 Mục tiêu: Biến 30 tệp thành persona v1, top 3 nỗi đau có số, và câu trả lời bằng số cho «khách có thật sự cần không». "&amp;" │  💡 Cuối tuần biết được: Top 3 nỗi đau với ba con số; persona v1; cược nào đúng/sai; giả thuyết nào bị gạch."</f>
        <v>📅 TUẦN 07  ·  26/10/2026 – 01/11/2026  —  NGUỘI · Kết chu kỳ 1 (M7) — phân tích 30 phỏng vấn  │  🎯 Mục tiêu: Biến 30 tệp thành persona v1, top 3 nỗi đau có số, và câu trả lời bằng số cho «khách có thật sự cần không».  │  💡 Cuối tuần biết được: Top 3 nỗi đau với ba con số; persona v1; cược nào đúng/sai; giả thuyết nào bị gạch.</v>
      </c>
      <c r="B53" s="33"/>
      <c r="C53" s="33"/>
      <c r="D53" s="33"/>
      <c r="E53" s="33"/>
      <c r="F53" s="33"/>
      <c r="G53" s="33"/>
      <c r="H53" s="33"/>
      <c r="I53" s="33"/>
      <c r="J53" s="33"/>
      <c r="K53" s="33"/>
    </row>
    <row r="54" spans="1:11" ht="94.25" customHeight="1" x14ac:dyDescent="0.35">
      <c r="A54" s="5">
        <v>43</v>
      </c>
      <c r="B54" s="46" t="s">
        <v>18</v>
      </c>
      <c r="C54" s="6" t="s">
        <v>403</v>
      </c>
      <c r="D54" s="7" t="s">
        <v>404</v>
      </c>
      <c r="E54" s="7"/>
      <c r="F54" s="9" t="s">
        <v>197</v>
      </c>
      <c r="G54" s="10">
        <f>NGAY_BAT_DAU+42</f>
        <v>46321</v>
      </c>
      <c r="H54" s="10">
        <f>NGAY_BAT_DAU+48</f>
        <v>46327</v>
      </c>
      <c r="I54" s="23" t="s">
        <v>276</v>
      </c>
      <c r="J54" s="7" t="s">
        <v>405</v>
      </c>
      <c r="K54" s="12"/>
    </row>
    <row r="55" spans="1:11" ht="43.75" customHeight="1" x14ac:dyDescent="0.35">
      <c r="A55" s="5">
        <v>44</v>
      </c>
      <c r="B55" s="39"/>
      <c r="C55" s="13" t="s">
        <v>406</v>
      </c>
      <c r="D55" s="14" t="s">
        <v>407</v>
      </c>
      <c r="E55" s="14"/>
      <c r="F55" s="16" t="s">
        <v>290</v>
      </c>
      <c r="G55" s="10">
        <f>NGAY_BAT_DAU+42</f>
        <v>46321</v>
      </c>
      <c r="H55" s="10">
        <f>NGAY_BAT_DAU+48</f>
        <v>46327</v>
      </c>
      <c r="I55" s="23" t="s">
        <v>276</v>
      </c>
      <c r="J55" s="14" t="s">
        <v>408</v>
      </c>
      <c r="K55" s="17"/>
    </row>
    <row r="56" spans="1:11" ht="43.75" customHeight="1" x14ac:dyDescent="0.35">
      <c r="A56" s="5">
        <v>45</v>
      </c>
      <c r="B56" s="39"/>
      <c r="C56" s="6" t="s">
        <v>409</v>
      </c>
      <c r="D56" s="7" t="s">
        <v>410</v>
      </c>
      <c r="E56" s="7"/>
      <c r="F56" s="9" t="s">
        <v>275</v>
      </c>
      <c r="G56" s="10">
        <f>NGAY_BAT_DAU+42</f>
        <v>46321</v>
      </c>
      <c r="H56" s="10">
        <f>NGAY_BAT_DAU+48</f>
        <v>46327</v>
      </c>
      <c r="I56" s="23" t="s">
        <v>276</v>
      </c>
      <c r="J56" s="7" t="s">
        <v>411</v>
      </c>
      <c r="K56" s="12"/>
    </row>
    <row r="57" spans="1:11" ht="28" customHeight="1" x14ac:dyDescent="0.35">
      <c r="A57" s="5">
        <v>46</v>
      </c>
      <c r="B57" s="40"/>
      <c r="C57" s="13" t="s">
        <v>412</v>
      </c>
      <c r="D57" s="14" t="s">
        <v>413</v>
      </c>
      <c r="E57" s="14"/>
      <c r="F57" s="16" t="s">
        <v>197</v>
      </c>
      <c r="G57" s="10">
        <f>NGAY_BAT_DAU+42</f>
        <v>46321</v>
      </c>
      <c r="H57" s="10">
        <f>NGAY_BAT_DAU+48</f>
        <v>46327</v>
      </c>
      <c r="I57" s="23" t="s">
        <v>276</v>
      </c>
      <c r="J57" s="14"/>
      <c r="K57" s="17"/>
    </row>
    <row r="58" spans="1:11" ht="36" customHeight="1" x14ac:dyDescent="0.35">
      <c r="A58" s="32" t="str">
        <f>"📅 TUẦN 08  ·  "&amp;TEXT(NGAY_BAT_DAU+49,"dd/mm/yyyy")&amp;" – "&amp;TEXT(NGAY_BAT_DAU+55,"dd/mm/yyyy")&amp;"  —  NGUỘI · Business.md 0.2 · Kịch bản lần 2 · Bàn cược C2  │  🎯 Mục tiêu: Tài liệu nền phản ánh bằng chứng; sẵn kịch bản lần 2; ba cược cho chu kỳ 2; chính sách riêng tư và trang"&amp;" tĩnh sẵn trước khi người ngoài dùng app.  │  💡 Cuối tuần biết được: Business.md nói bằng bằng chứng; chu kỳ 2 phải chứng minh gì; chính sách và trang tĩnh đã sẵn."</f>
        <v>📅 TUẦN 08  ·  02/11/2026 – 08/11/2026  —  NGUỘI · Business.md 0.2 · Kịch bản lần 2 · Bàn cược C2  │  🎯 Mục tiêu: Tài liệu nền phản ánh bằng chứng; sẵn kịch bản lần 2; ba cược cho chu kỳ 2; chính sách riêng tư và trang tĩnh sẵn trước khi người ngoài dùng app.  │  💡 Cuối tuần biết được: Business.md nói bằng bằng chứng; chu kỳ 2 phải chứng minh gì; chính sách và trang tĩnh đã sẵn.</v>
      </c>
      <c r="B58" s="33"/>
      <c r="C58" s="33"/>
      <c r="D58" s="33"/>
      <c r="E58" s="33"/>
      <c r="F58" s="33"/>
      <c r="G58" s="33"/>
      <c r="H58" s="33"/>
      <c r="I58" s="33"/>
      <c r="J58" s="33"/>
      <c r="K58" s="33"/>
    </row>
    <row r="59" spans="1:11" ht="56.4" customHeight="1" x14ac:dyDescent="0.35">
      <c r="A59" s="5">
        <v>47</v>
      </c>
      <c r="B59" s="46" t="s">
        <v>18</v>
      </c>
      <c r="C59" s="6" t="s">
        <v>414</v>
      </c>
      <c r="D59" s="7" t="s">
        <v>415</v>
      </c>
      <c r="E59" s="7"/>
      <c r="F59" s="9" t="s">
        <v>275</v>
      </c>
      <c r="G59" s="10">
        <f t="shared" ref="G59:G64" si="10">NGAY_BAT_DAU+49</f>
        <v>46328</v>
      </c>
      <c r="H59" s="10">
        <f t="shared" ref="H59:H64" si="11">NGAY_BAT_DAU+55</f>
        <v>46334</v>
      </c>
      <c r="I59" s="23" t="s">
        <v>276</v>
      </c>
      <c r="J59" s="7" t="s">
        <v>416</v>
      </c>
      <c r="K59" s="12"/>
    </row>
    <row r="60" spans="1:11" ht="94.25" customHeight="1" x14ac:dyDescent="0.35">
      <c r="A60" s="5">
        <v>48</v>
      </c>
      <c r="B60" s="39"/>
      <c r="C60" s="13" t="s">
        <v>417</v>
      </c>
      <c r="D60" s="14" t="s">
        <v>418</v>
      </c>
      <c r="E60" s="14"/>
      <c r="F60" s="16" t="s">
        <v>286</v>
      </c>
      <c r="G60" s="10">
        <f t="shared" si="10"/>
        <v>46328</v>
      </c>
      <c r="H60" s="10">
        <f t="shared" si="11"/>
        <v>46334</v>
      </c>
      <c r="I60" s="23" t="s">
        <v>276</v>
      </c>
      <c r="J60" s="14" t="s">
        <v>419</v>
      </c>
      <c r="K60" s="17"/>
    </row>
    <row r="61" spans="1:11" ht="56.4" customHeight="1" x14ac:dyDescent="0.35">
      <c r="A61" s="5">
        <v>49</v>
      </c>
      <c r="B61" s="39"/>
      <c r="C61" s="6" t="s">
        <v>420</v>
      </c>
      <c r="D61" s="7" t="s">
        <v>421</v>
      </c>
      <c r="E61" s="7"/>
      <c r="F61" s="9" t="s">
        <v>290</v>
      </c>
      <c r="G61" s="10">
        <f t="shared" si="10"/>
        <v>46328</v>
      </c>
      <c r="H61" s="10">
        <f t="shared" si="11"/>
        <v>46334</v>
      </c>
      <c r="I61" s="23" t="s">
        <v>276</v>
      </c>
      <c r="J61" s="7" t="s">
        <v>422</v>
      </c>
      <c r="K61" s="12"/>
    </row>
    <row r="62" spans="1:11" ht="81.650000000000006" customHeight="1" x14ac:dyDescent="0.35">
      <c r="A62" s="5">
        <v>50</v>
      </c>
      <c r="B62" s="39"/>
      <c r="C62" s="13" t="s">
        <v>423</v>
      </c>
      <c r="D62" s="14" t="s">
        <v>424</v>
      </c>
      <c r="E62" s="14"/>
      <c r="F62" s="16" t="s">
        <v>290</v>
      </c>
      <c r="G62" s="10">
        <f t="shared" si="10"/>
        <v>46328</v>
      </c>
      <c r="H62" s="10">
        <f t="shared" si="11"/>
        <v>46334</v>
      </c>
      <c r="I62" s="23" t="s">
        <v>276</v>
      </c>
      <c r="J62" s="14" t="s">
        <v>425</v>
      </c>
      <c r="K62" s="17"/>
    </row>
    <row r="63" spans="1:11" ht="69" customHeight="1" x14ac:dyDescent="0.35">
      <c r="A63" s="5">
        <v>51</v>
      </c>
      <c r="B63" s="39"/>
      <c r="C63" s="6" t="s">
        <v>426</v>
      </c>
      <c r="D63" s="7" t="s">
        <v>427</v>
      </c>
      <c r="E63" s="7"/>
      <c r="F63" s="9" t="s">
        <v>300</v>
      </c>
      <c r="G63" s="10">
        <f t="shared" si="10"/>
        <v>46328</v>
      </c>
      <c r="H63" s="10">
        <f t="shared" si="11"/>
        <v>46334</v>
      </c>
      <c r="I63" s="23" t="s">
        <v>276</v>
      </c>
      <c r="J63" s="7" t="s">
        <v>428</v>
      </c>
      <c r="K63" s="12"/>
    </row>
    <row r="64" spans="1:11" ht="43.75" customHeight="1" x14ac:dyDescent="0.35">
      <c r="A64" s="5">
        <v>52</v>
      </c>
      <c r="B64" s="40"/>
      <c r="C64" s="13" t="s">
        <v>429</v>
      </c>
      <c r="D64" s="14" t="s">
        <v>430</v>
      </c>
      <c r="E64" s="14"/>
      <c r="F64" s="16" t="s">
        <v>126</v>
      </c>
      <c r="G64" s="10">
        <f t="shared" si="10"/>
        <v>46328</v>
      </c>
      <c r="H64" s="10">
        <f t="shared" si="11"/>
        <v>46334</v>
      </c>
      <c r="I64" s="23" t="s">
        <v>276</v>
      </c>
      <c r="J64" s="14" t="s">
        <v>431</v>
      </c>
      <c r="K64" s="17"/>
    </row>
  </sheetData>
  <mergeCells count="18">
    <mergeCell ref="A47:K47"/>
    <mergeCell ref="B6:B16"/>
    <mergeCell ref="A5:K5"/>
    <mergeCell ref="B59:B64"/>
    <mergeCell ref="A40:K40"/>
    <mergeCell ref="B54:B57"/>
    <mergeCell ref="A58:K58"/>
    <mergeCell ref="A53:K53"/>
    <mergeCell ref="B18:B23"/>
    <mergeCell ref="B48:B52"/>
    <mergeCell ref="B32:B39"/>
    <mergeCell ref="B25:B30"/>
    <mergeCell ref="A24:K24"/>
    <mergeCell ref="A1:K1"/>
    <mergeCell ref="A17:K17"/>
    <mergeCell ref="B41:B46"/>
    <mergeCell ref="A31:K31"/>
    <mergeCell ref="A2:K2"/>
  </mergeCells>
  <conditionalFormatting sqref="I5:I64">
    <cfRule type="cellIs" dxfId="27" priority="1" operator="equal">
      <formula>"Xong"</formula>
    </cfRule>
    <cfRule type="cellIs" dxfId="26" priority="2" operator="equal">
      <formula>"Đang làm"</formula>
    </cfRule>
    <cfRule type="cellIs" dxfId="25" priority="3" operator="equal">
      <formula>"Cắt"</formula>
    </cfRule>
    <cfRule type="cellIs" dxfId="24" priority="4" operator="equal">
      <formula>"Tạm hoãn"</formula>
    </cfRule>
  </conditionalFormatting>
  <dataValidations count="1">
    <dataValidation type="list" allowBlank="1" sqref="I5:I64" xr:uid="{00000000-0002-0000-0100-000000000000}">
      <formula1>"Chưa bắt đầu,Đang làm,Xong,Cắt,Tạm hoãn"</formula1>
    </dataValidation>
  </dataValidations>
  <pageMargins left="0.75" right="0.75" top="1" bottom="1"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pageSetUpPr fitToPage="1"/>
  </sheetPr>
  <dimension ref="A1:K50"/>
  <sheetViews>
    <sheetView showGridLines="0" zoomScale="85" workbookViewId="0">
      <pane ySplit="4" topLeftCell="A5" activePane="bottomLeft" state="frozen"/>
      <selection pane="bottomLeft"/>
    </sheetView>
  </sheetViews>
  <sheetFormatPr defaultRowHeight="14.5" x14ac:dyDescent="0.35"/>
  <cols>
    <col min="1" max="1" width="6" customWidth="1"/>
    <col min="2" max="2" width="21" customWidth="1"/>
    <col min="3" max="3" width="34" customWidth="1"/>
    <col min="4" max="4" width="50" customWidth="1"/>
    <col min="5" max="5" width="34" customWidth="1"/>
    <col min="6" max="6" width="11" customWidth="1"/>
    <col min="7" max="8" width="14" customWidth="1"/>
    <col min="9" max="9" width="15" customWidth="1"/>
    <col min="10" max="10" width="40" customWidth="1"/>
    <col min="11" max="11" width="24" customWidth="1"/>
  </cols>
  <sheetData>
    <row r="1" spans="1:11" ht="32" customHeight="1" x14ac:dyDescent="0.35">
      <c r="A1" s="36" t="s">
        <v>432</v>
      </c>
      <c r="B1" s="37"/>
      <c r="C1" s="37"/>
      <c r="D1" s="37"/>
      <c r="E1" s="37"/>
      <c r="F1" s="37"/>
      <c r="G1" s="37"/>
      <c r="H1" s="37"/>
      <c r="I1" s="37"/>
      <c r="J1" s="37"/>
      <c r="K1" s="37"/>
    </row>
    <row r="2" spans="1:11" ht="19" customHeight="1" x14ac:dyDescent="0.35">
      <c r="A2" s="44" t="str">
        <f>"Tuần 09 – 16   │   "&amp;TEXT(NGAY_BAT_DAU+56,"dd/mm/yyyy")&amp;"  →  "&amp;TEXT(NGAY_BAT_DAU+111,"dd/mm/yyyy")&amp;"   │   6 tuần làm (T9–T14) + 2 tuần nguội (T15–T16, trùng kỳ thi &amp; Tết Dương)   │   QUÝ 1 — GIAI ĐOẠN 1: THẤU CẢM"</f>
        <v>Tuần 09 – 16   │   09/11/2026  →  03/01/2027   │   6 tuần làm (T9–T14) + 2 tuần nguội (T15–T16, trùng kỳ thi &amp; Tết Dương)   │   QUÝ 1 — GIAI ĐOẠN 1: THẤU CẢM</v>
      </c>
      <c r="B2" s="31"/>
      <c r="C2" s="31"/>
      <c r="D2" s="31"/>
      <c r="E2" s="31"/>
      <c r="F2" s="31"/>
      <c r="G2" s="31"/>
      <c r="H2" s="31"/>
      <c r="I2" s="31"/>
      <c r="J2" s="31"/>
      <c r="K2" s="31"/>
    </row>
    <row r="3" spans="1:11" ht="7" customHeight="1" x14ac:dyDescent="0.35"/>
    <row r="4" spans="1:11" ht="40" customHeight="1" x14ac:dyDescent="0.35">
      <c r="A4" s="4" t="s">
        <v>7</v>
      </c>
      <c r="B4" s="4" t="s">
        <v>8</v>
      </c>
      <c r="C4" s="4" t="s">
        <v>9</v>
      </c>
      <c r="D4" s="4" t="s">
        <v>10</v>
      </c>
      <c r="E4" s="4" t="s">
        <v>11</v>
      </c>
      <c r="F4" s="4" t="s">
        <v>12</v>
      </c>
      <c r="G4" s="4" t="s">
        <v>13</v>
      </c>
      <c r="H4" s="4" t="s">
        <v>14</v>
      </c>
      <c r="I4" s="4" t="s">
        <v>15</v>
      </c>
      <c r="J4" s="4" t="s">
        <v>16</v>
      </c>
      <c r="K4" s="4" t="s">
        <v>17</v>
      </c>
    </row>
    <row r="5" spans="1:11" ht="36" customHeight="1" x14ac:dyDescent="0.35">
      <c r="A5" s="32" t="str">
        <f>"📅 TUẦN 09  ·  "&amp;TEXT(NGAY_BAT_DAU+56,"dd/mm/yyyy")&amp;" – "&amp;TEXT(NGAY_BAT_DAU+62,"dd/mm/yyyy")&amp;"  —  Thử nghiệm kín 12 người · Phỏng vấn lần 2  │  🎯 Mục tiêu: Đồng hồ 14 ngày của Google Play bắt đầu; phễu có số thật đầu tiên; 5 phỏng vấn lần 2; 3 nội dung đầu.  │  💡 Cuối tuần"&amp;" biết được: Người lần đầu nhìn app có hiểu «hộ chiếu» trong 5 giây không (từ 5 phỏng vấn); 12 người đã cài; phễu đo được."</f>
        <v>📅 TUẦN 09  ·  09/11/2026 – 15/11/2026  —  Thử nghiệm kín 12 người · Phỏng vấn lần 2  │  🎯 Mục tiêu: Đồng hồ 14 ngày của Google Play bắt đầu; phễu có số thật đầu tiên; 5 phỏng vấn lần 2; 3 nội dung đầu.  │  💡 Cuối tuần biết được: Người lần đầu nhìn app có hiểu «hộ chiếu» trong 5 giây không (từ 5 phỏng vấn); 12 người đã cài; phễu đo được.</v>
      </c>
      <c r="B5" s="33"/>
      <c r="C5" s="33"/>
      <c r="D5" s="33"/>
      <c r="E5" s="33"/>
      <c r="F5" s="33"/>
      <c r="G5" s="33"/>
      <c r="H5" s="33"/>
      <c r="I5" s="33"/>
      <c r="J5" s="33"/>
      <c r="K5" s="33"/>
    </row>
    <row r="6" spans="1:11" ht="56.4" customHeight="1" x14ac:dyDescent="0.35">
      <c r="A6" s="5">
        <v>1</v>
      </c>
      <c r="B6" s="46" t="s">
        <v>18</v>
      </c>
      <c r="C6" s="6" t="s">
        <v>433</v>
      </c>
      <c r="D6" s="7" t="s">
        <v>434</v>
      </c>
      <c r="E6" s="7"/>
      <c r="F6" s="9" t="s">
        <v>300</v>
      </c>
      <c r="G6" s="10">
        <f t="shared" ref="G6:G11" si="0">NGAY_BAT_DAU+56</f>
        <v>46335</v>
      </c>
      <c r="H6" s="10">
        <f t="shared" ref="H6:H11" si="1">NGAY_BAT_DAU+62</f>
        <v>46341</v>
      </c>
      <c r="I6" s="23" t="s">
        <v>276</v>
      </c>
      <c r="J6" s="7" t="s">
        <v>435</v>
      </c>
      <c r="K6" s="12"/>
    </row>
    <row r="7" spans="1:11" ht="56.4" customHeight="1" x14ac:dyDescent="0.35">
      <c r="A7" s="5">
        <v>2</v>
      </c>
      <c r="B7" s="39"/>
      <c r="C7" s="13" t="s">
        <v>436</v>
      </c>
      <c r="D7" s="14" t="s">
        <v>437</v>
      </c>
      <c r="E7" s="14"/>
      <c r="F7" s="16" t="s">
        <v>438</v>
      </c>
      <c r="G7" s="10">
        <f t="shared" si="0"/>
        <v>46335</v>
      </c>
      <c r="H7" s="10">
        <f t="shared" si="1"/>
        <v>46341</v>
      </c>
      <c r="I7" s="23" t="s">
        <v>276</v>
      </c>
      <c r="J7" s="14" t="s">
        <v>439</v>
      </c>
      <c r="K7" s="17"/>
    </row>
    <row r="8" spans="1:11" ht="56.4" customHeight="1" x14ac:dyDescent="0.35">
      <c r="A8" s="5">
        <v>3</v>
      </c>
      <c r="B8" s="39"/>
      <c r="C8" s="6" t="s">
        <v>440</v>
      </c>
      <c r="D8" s="7" t="s">
        <v>441</v>
      </c>
      <c r="E8" s="7"/>
      <c r="F8" s="9" t="s">
        <v>286</v>
      </c>
      <c r="G8" s="10">
        <f t="shared" si="0"/>
        <v>46335</v>
      </c>
      <c r="H8" s="10">
        <f t="shared" si="1"/>
        <v>46341</v>
      </c>
      <c r="I8" s="23" t="s">
        <v>276</v>
      </c>
      <c r="J8" s="7" t="s">
        <v>442</v>
      </c>
      <c r="K8" s="12"/>
    </row>
    <row r="9" spans="1:11" ht="69" customHeight="1" x14ac:dyDescent="0.35">
      <c r="A9" s="5">
        <v>4</v>
      </c>
      <c r="B9" s="39"/>
      <c r="C9" s="13" t="s">
        <v>443</v>
      </c>
      <c r="D9" s="14" t="s">
        <v>444</v>
      </c>
      <c r="E9" s="14"/>
      <c r="F9" s="16" t="s">
        <v>286</v>
      </c>
      <c r="G9" s="10">
        <f t="shared" si="0"/>
        <v>46335</v>
      </c>
      <c r="H9" s="10">
        <f t="shared" si="1"/>
        <v>46341</v>
      </c>
      <c r="I9" s="23" t="s">
        <v>276</v>
      </c>
      <c r="J9" s="14" t="s">
        <v>445</v>
      </c>
      <c r="K9" s="17"/>
    </row>
    <row r="10" spans="1:11" ht="56.4" customHeight="1" x14ac:dyDescent="0.35">
      <c r="A10" s="5">
        <v>5</v>
      </c>
      <c r="B10" s="39"/>
      <c r="C10" s="6" t="s">
        <v>446</v>
      </c>
      <c r="D10" s="7" t="s">
        <v>447</v>
      </c>
      <c r="E10" s="7"/>
      <c r="F10" s="9" t="s">
        <v>323</v>
      </c>
      <c r="G10" s="10">
        <f t="shared" si="0"/>
        <v>46335</v>
      </c>
      <c r="H10" s="10">
        <f t="shared" si="1"/>
        <v>46341</v>
      </c>
      <c r="I10" s="23" t="s">
        <v>276</v>
      </c>
      <c r="J10" s="7" t="s">
        <v>448</v>
      </c>
      <c r="K10" s="12"/>
    </row>
    <row r="11" spans="1:11" ht="31.25" customHeight="1" x14ac:dyDescent="0.35">
      <c r="A11" s="5">
        <v>6</v>
      </c>
      <c r="B11" s="40"/>
      <c r="C11" s="13" t="s">
        <v>449</v>
      </c>
      <c r="D11" s="14" t="s">
        <v>450</v>
      </c>
      <c r="E11" s="14"/>
      <c r="F11" s="16" t="s">
        <v>290</v>
      </c>
      <c r="G11" s="10">
        <f t="shared" si="0"/>
        <v>46335</v>
      </c>
      <c r="H11" s="10">
        <f t="shared" si="1"/>
        <v>46341</v>
      </c>
      <c r="I11" s="23" t="s">
        <v>276</v>
      </c>
      <c r="J11" s="14" t="s">
        <v>451</v>
      </c>
      <c r="K11" s="17"/>
    </row>
    <row r="12" spans="1:11" ht="36" customHeight="1" x14ac:dyDescent="0.35">
      <c r="A12" s="32" t="str">
        <f>"📅 TUẦN 10  ·  "&amp;TEXT(NGAY_BAT_DAU+63,"dd/mm/yyyy")&amp;" – "&amp;TEXT(NGAY_BAT_DAU+69,"dd/mm/yyyy")&amp;"  —  Cohort 30 người · Phân tích lần 2 · Slogan  │  🎯 Mục tiêu: 30 người dùng thật có nguồn; kết quả 10 phỏng vấn lần 2; slogan v1 chọn bằng người ngoài.  │  💡 Cuối tuần biết được:"&amp;" % cohort đóng con dấu đầu trong 7 ngày; slogan v1; mức giá được chọn nhiều nhất và dịch vụ nào họ muốn đặt."</f>
        <v>📅 TUẦN 10  ·  16/11/2026 – 22/11/2026  —  Cohort 30 người · Phân tích lần 2 · Slogan  │  🎯 Mục tiêu: 30 người dùng thật có nguồn; kết quả 10 phỏng vấn lần 2; slogan v1 chọn bằng người ngoài.  │  💡 Cuối tuần biết được: % cohort đóng con dấu đầu trong 7 ngày; slogan v1; mức giá được chọn nhiều nhất và dịch vụ nào họ muốn đặt.</v>
      </c>
      <c r="B12" s="33"/>
      <c r="C12" s="33"/>
      <c r="D12" s="33"/>
      <c r="E12" s="33"/>
      <c r="F12" s="33"/>
      <c r="G12" s="33"/>
      <c r="H12" s="33"/>
      <c r="I12" s="33"/>
      <c r="J12" s="33"/>
      <c r="K12" s="33"/>
    </row>
    <row r="13" spans="1:11" ht="69" customHeight="1" x14ac:dyDescent="0.35">
      <c r="A13" s="5">
        <v>7</v>
      </c>
      <c r="B13" s="46" t="s">
        <v>18</v>
      </c>
      <c r="C13" s="6" t="s">
        <v>452</v>
      </c>
      <c r="D13" s="7" t="s">
        <v>453</v>
      </c>
      <c r="E13" s="7"/>
      <c r="F13" s="9" t="s">
        <v>286</v>
      </c>
      <c r="G13" s="10">
        <f t="shared" ref="G13:G18" si="2">NGAY_BAT_DAU+63</f>
        <v>46342</v>
      </c>
      <c r="H13" s="10">
        <f t="shared" ref="H13:H18" si="3">NGAY_BAT_DAU+69</f>
        <v>46348</v>
      </c>
      <c r="I13" s="23" t="s">
        <v>276</v>
      </c>
      <c r="J13" s="7" t="s">
        <v>454</v>
      </c>
      <c r="K13" s="12"/>
    </row>
    <row r="14" spans="1:11" ht="56.4" customHeight="1" x14ac:dyDescent="0.35">
      <c r="A14" s="5">
        <v>8</v>
      </c>
      <c r="B14" s="39"/>
      <c r="C14" s="13" t="s">
        <v>455</v>
      </c>
      <c r="D14" s="14" t="s">
        <v>456</v>
      </c>
      <c r="E14" s="14"/>
      <c r="F14" s="16" t="s">
        <v>286</v>
      </c>
      <c r="G14" s="10">
        <f t="shared" si="2"/>
        <v>46342</v>
      </c>
      <c r="H14" s="10">
        <f t="shared" si="3"/>
        <v>46348</v>
      </c>
      <c r="I14" s="23" t="s">
        <v>276</v>
      </c>
      <c r="J14" s="14" t="s">
        <v>457</v>
      </c>
      <c r="K14" s="17"/>
    </row>
    <row r="15" spans="1:11" ht="69" customHeight="1" x14ac:dyDescent="0.35">
      <c r="A15" s="5">
        <v>9</v>
      </c>
      <c r="B15" s="39"/>
      <c r="C15" s="6" t="s">
        <v>458</v>
      </c>
      <c r="D15" s="7" t="s">
        <v>459</v>
      </c>
      <c r="E15" s="7"/>
      <c r="F15" s="9" t="s">
        <v>275</v>
      </c>
      <c r="G15" s="10">
        <f t="shared" si="2"/>
        <v>46342</v>
      </c>
      <c r="H15" s="10">
        <f t="shared" si="3"/>
        <v>46348</v>
      </c>
      <c r="I15" s="23" t="s">
        <v>276</v>
      </c>
      <c r="J15" s="7" t="s">
        <v>460</v>
      </c>
      <c r="K15" s="12"/>
    </row>
    <row r="16" spans="1:11" ht="43.75" customHeight="1" x14ac:dyDescent="0.35">
      <c r="A16" s="5">
        <v>10</v>
      </c>
      <c r="B16" s="39"/>
      <c r="C16" s="13" t="s">
        <v>461</v>
      </c>
      <c r="D16" s="14" t="s">
        <v>462</v>
      </c>
      <c r="E16" s="14"/>
      <c r="F16" s="16" t="s">
        <v>323</v>
      </c>
      <c r="G16" s="10">
        <f t="shared" si="2"/>
        <v>46342</v>
      </c>
      <c r="H16" s="10">
        <f t="shared" si="3"/>
        <v>46348</v>
      </c>
      <c r="I16" s="23" t="s">
        <v>276</v>
      </c>
      <c r="J16" s="14" t="s">
        <v>463</v>
      </c>
      <c r="K16" s="17"/>
    </row>
    <row r="17" spans="1:11" ht="43.75" customHeight="1" x14ac:dyDescent="0.35">
      <c r="A17" s="5">
        <v>11</v>
      </c>
      <c r="B17" s="39"/>
      <c r="C17" s="6" t="s">
        <v>464</v>
      </c>
      <c r="D17" s="7" t="s">
        <v>465</v>
      </c>
      <c r="E17" s="7"/>
      <c r="F17" s="9" t="s">
        <v>300</v>
      </c>
      <c r="G17" s="10">
        <f t="shared" si="2"/>
        <v>46342</v>
      </c>
      <c r="H17" s="10">
        <f t="shared" si="3"/>
        <v>46348</v>
      </c>
      <c r="I17" s="23" t="s">
        <v>276</v>
      </c>
      <c r="J17" s="7" t="s">
        <v>466</v>
      </c>
      <c r="K17" s="12"/>
    </row>
    <row r="18" spans="1:11" ht="28" customHeight="1" x14ac:dyDescent="0.35">
      <c r="A18" s="5">
        <v>12</v>
      </c>
      <c r="B18" s="40"/>
      <c r="C18" s="13" t="s">
        <v>467</v>
      </c>
      <c r="D18" s="14" t="s">
        <v>468</v>
      </c>
      <c r="E18" s="14"/>
      <c r="F18" s="16" t="s">
        <v>286</v>
      </c>
      <c r="G18" s="10">
        <f t="shared" si="2"/>
        <v>46342</v>
      </c>
      <c r="H18" s="10">
        <f t="shared" si="3"/>
        <v>46348</v>
      </c>
      <c r="I18" s="23" t="s">
        <v>276</v>
      </c>
      <c r="J18" s="14" t="s">
        <v>469</v>
      </c>
      <c r="K18" s="17"/>
    </row>
    <row r="19" spans="1:11" ht="36" customHeight="1" x14ac:dyDescent="0.35">
      <c r="A19" s="32" t="str">
        <f>"📅 TUẦN 11  ·  "&amp;TEXT(NGAY_BAT_DAU+70,"dd/mm/yyyy")&amp;" – "&amp;TEXT(NGAY_BAT_DAU+76,"dd/mm/yyyy")&amp;"  —  Đo kích hoạt &amp; quay lại · Dòng tiền v0  │  🎯 Mục tiêu: Bảng số có 4 chỉ số thật; biết chi phí cố định 12 tháng; 10 nội dung có số; sẵn khảo sát.  │  💡 Cuối tuần biết được: Kên"&amp;"h nào cho cài thật; chi phí cố định 12 tháng và ai đang ứng; CAC bằng giờ."</f>
        <v>📅 TUẦN 11  ·  23/11/2026 – 29/11/2026  —  Đo kích hoạt &amp; quay lại · Dòng tiền v0  │  🎯 Mục tiêu: Bảng số có 4 chỉ số thật; biết chi phí cố định 12 tháng; 10 nội dung có số; sẵn khảo sát.  │  💡 Cuối tuần biết được: Kênh nào cho cài thật; chi phí cố định 12 tháng và ai đang ứng; CAC bằng giờ.</v>
      </c>
      <c r="B19" s="33"/>
      <c r="C19" s="33"/>
      <c r="D19" s="33"/>
      <c r="E19" s="33"/>
      <c r="F19" s="33"/>
      <c r="G19" s="33"/>
      <c r="H19" s="33"/>
      <c r="I19" s="33"/>
      <c r="J19" s="33"/>
      <c r="K19" s="33"/>
    </row>
    <row r="20" spans="1:11" ht="69" customHeight="1" x14ac:dyDescent="0.35">
      <c r="A20" s="5">
        <v>13</v>
      </c>
      <c r="B20" s="46" t="s">
        <v>18</v>
      </c>
      <c r="C20" s="6" t="s">
        <v>470</v>
      </c>
      <c r="D20" s="7" t="s">
        <v>471</v>
      </c>
      <c r="E20" s="7"/>
      <c r="F20" s="9" t="s">
        <v>290</v>
      </c>
      <c r="G20" s="10">
        <f>NGAY_BAT_DAU+70</f>
        <v>46349</v>
      </c>
      <c r="H20" s="10">
        <f>NGAY_BAT_DAU+76</f>
        <v>46355</v>
      </c>
      <c r="I20" s="23" t="s">
        <v>276</v>
      </c>
      <c r="J20" s="7" t="s">
        <v>472</v>
      </c>
      <c r="K20" s="12"/>
    </row>
    <row r="21" spans="1:11" ht="69" customHeight="1" x14ac:dyDescent="0.35">
      <c r="A21" s="5">
        <v>14</v>
      </c>
      <c r="B21" s="39"/>
      <c r="C21" s="13" t="s">
        <v>473</v>
      </c>
      <c r="D21" s="14" t="s">
        <v>474</v>
      </c>
      <c r="E21" s="14"/>
      <c r="F21" s="16" t="s">
        <v>290</v>
      </c>
      <c r="G21" s="10">
        <f>NGAY_BAT_DAU+70</f>
        <v>46349</v>
      </c>
      <c r="H21" s="10">
        <f>NGAY_BAT_DAU+76</f>
        <v>46355</v>
      </c>
      <c r="I21" s="23" t="s">
        <v>276</v>
      </c>
      <c r="J21" s="14" t="s">
        <v>475</v>
      </c>
      <c r="K21" s="17"/>
    </row>
    <row r="22" spans="1:11" ht="31.25" customHeight="1" x14ac:dyDescent="0.35">
      <c r="A22" s="5">
        <v>15</v>
      </c>
      <c r="B22" s="39"/>
      <c r="C22" s="6" t="s">
        <v>476</v>
      </c>
      <c r="D22" s="7" t="s">
        <v>477</v>
      </c>
      <c r="E22" s="7"/>
      <c r="F22" s="9" t="s">
        <v>286</v>
      </c>
      <c r="G22" s="10">
        <f>NGAY_BAT_DAU+70</f>
        <v>46349</v>
      </c>
      <c r="H22" s="10">
        <f>NGAY_BAT_DAU+76</f>
        <v>46355</v>
      </c>
      <c r="I22" s="23" t="s">
        <v>276</v>
      </c>
      <c r="J22" s="7" t="s">
        <v>478</v>
      </c>
      <c r="K22" s="12"/>
    </row>
    <row r="23" spans="1:11" ht="69" customHeight="1" x14ac:dyDescent="0.35">
      <c r="A23" s="5">
        <v>16</v>
      </c>
      <c r="B23" s="39"/>
      <c r="C23" s="13" t="s">
        <v>479</v>
      </c>
      <c r="D23" s="14" t="s">
        <v>480</v>
      </c>
      <c r="E23" s="14"/>
      <c r="F23" s="16" t="s">
        <v>323</v>
      </c>
      <c r="G23" s="10">
        <f>NGAY_BAT_DAU+70</f>
        <v>46349</v>
      </c>
      <c r="H23" s="10">
        <f>NGAY_BAT_DAU+76</f>
        <v>46355</v>
      </c>
      <c r="I23" s="23" t="s">
        <v>276</v>
      </c>
      <c r="J23" s="14" t="s">
        <v>481</v>
      </c>
      <c r="K23" s="17"/>
    </row>
    <row r="24" spans="1:11" ht="56.4" customHeight="1" x14ac:dyDescent="0.35">
      <c r="A24" s="5">
        <v>17</v>
      </c>
      <c r="B24" s="40"/>
      <c r="C24" s="6" t="s">
        <v>482</v>
      </c>
      <c r="D24" s="7" t="s">
        <v>483</v>
      </c>
      <c r="E24" s="7"/>
      <c r="F24" s="9" t="s">
        <v>438</v>
      </c>
      <c r="G24" s="10">
        <f>NGAY_BAT_DAU+70</f>
        <v>46349</v>
      </c>
      <c r="H24" s="10">
        <f>NGAY_BAT_DAU+76</f>
        <v>46355</v>
      </c>
      <c r="I24" s="23" t="s">
        <v>276</v>
      </c>
      <c r="J24" s="7" t="s">
        <v>484</v>
      </c>
      <c r="K24" s="12"/>
    </row>
    <row r="25" spans="1:11" ht="36" customHeight="1" x14ac:dyDescent="0.35">
      <c r="A25" s="32" t="str">
        <f>"📅 TUẦN 12  ·  "&amp;TEXT(NGAY_BAT_DAU+77,"dd/mm/yyyy")&amp;" – "&amp;TEXT(NGAY_BAT_DAU+83,"dd/mm/yyyy")&amp;"  —  CỔNG QUÝ 1 (M12) — tiếp / xoay / dừng  │  🎯 Mục tiêu: Quyết định tiếp / xoay / dừng bằng bảng tiêu chí đã viết trước; chốt Rocks Q2; đủ điều kiện xin phát hành.  │  💡 Cuối tuầ"&amp;"n biết được: Có bằng chứng «khách thật sự cần» hay chưa; nếu xoay thì xoay gì giữ gì; Rocks Q2."</f>
        <v>📅 TUẦN 12  ·  30/11/2026 – 06/12/2026  —  CỔNG QUÝ 1 (M12) — tiếp / xoay / dừng  │  🎯 Mục tiêu: Quyết định tiếp / xoay / dừng bằng bảng tiêu chí đã viết trước; chốt Rocks Q2; đủ điều kiện xin phát hành.  │  💡 Cuối tuần biết được: Có bằng chứng «khách thật sự cần» hay chưa; nếu xoay thì xoay gì giữ gì; Rocks Q2.</v>
      </c>
      <c r="B25" s="33"/>
      <c r="C25" s="33"/>
      <c r="D25" s="33"/>
      <c r="E25" s="33"/>
      <c r="F25" s="33"/>
      <c r="G25" s="33"/>
      <c r="H25" s="33"/>
      <c r="I25" s="33"/>
      <c r="J25" s="33"/>
      <c r="K25" s="33"/>
    </row>
    <row r="26" spans="1:11" ht="43.75" customHeight="1" x14ac:dyDescent="0.35">
      <c r="A26" s="5">
        <v>18</v>
      </c>
      <c r="B26" s="46" t="s">
        <v>18</v>
      </c>
      <c r="C26" s="13" t="s">
        <v>485</v>
      </c>
      <c r="D26" s="14" t="s">
        <v>486</v>
      </c>
      <c r="E26" s="14"/>
      <c r="F26" s="16" t="s">
        <v>290</v>
      </c>
      <c r="G26" s="10">
        <f>NGAY_BAT_DAU+77</f>
        <v>46356</v>
      </c>
      <c r="H26" s="10">
        <f>NGAY_BAT_DAU+83</f>
        <v>46362</v>
      </c>
      <c r="I26" s="23" t="s">
        <v>276</v>
      </c>
      <c r="J26" s="14" t="s">
        <v>487</v>
      </c>
      <c r="K26" s="17"/>
    </row>
    <row r="27" spans="1:11" ht="81.650000000000006" customHeight="1" x14ac:dyDescent="0.35">
      <c r="A27" s="5">
        <v>19</v>
      </c>
      <c r="B27" s="39"/>
      <c r="C27" s="6" t="s">
        <v>488</v>
      </c>
      <c r="D27" s="7" t="s">
        <v>489</v>
      </c>
      <c r="E27" s="7"/>
      <c r="F27" s="9" t="s">
        <v>197</v>
      </c>
      <c r="G27" s="10">
        <f>NGAY_BAT_DAU+77</f>
        <v>46356</v>
      </c>
      <c r="H27" s="10">
        <f>NGAY_BAT_DAU+83</f>
        <v>46362</v>
      </c>
      <c r="I27" s="23" t="s">
        <v>276</v>
      </c>
      <c r="J27" s="7" t="s">
        <v>490</v>
      </c>
      <c r="K27" s="12"/>
    </row>
    <row r="28" spans="1:11" ht="81.650000000000006" customHeight="1" x14ac:dyDescent="0.35">
      <c r="A28" s="5">
        <v>20</v>
      </c>
      <c r="B28" s="39"/>
      <c r="C28" s="13" t="s">
        <v>491</v>
      </c>
      <c r="D28" s="14" t="s">
        <v>492</v>
      </c>
      <c r="E28" s="14"/>
      <c r="F28" s="16" t="s">
        <v>438</v>
      </c>
      <c r="G28" s="10">
        <f>NGAY_BAT_DAU+77</f>
        <v>46356</v>
      </c>
      <c r="H28" s="10">
        <f>NGAY_BAT_DAU+83</f>
        <v>46362</v>
      </c>
      <c r="I28" s="23" t="s">
        <v>276</v>
      </c>
      <c r="J28" s="14" t="s">
        <v>493</v>
      </c>
      <c r="K28" s="17"/>
    </row>
    <row r="29" spans="1:11" ht="31.25" customHeight="1" x14ac:dyDescent="0.35">
      <c r="A29" s="5">
        <v>21</v>
      </c>
      <c r="B29" s="40"/>
      <c r="C29" s="6" t="s">
        <v>494</v>
      </c>
      <c r="D29" s="7" t="s">
        <v>495</v>
      </c>
      <c r="E29" s="7"/>
      <c r="F29" s="9" t="s">
        <v>275</v>
      </c>
      <c r="G29" s="10">
        <f>NGAY_BAT_DAU+77</f>
        <v>46356</v>
      </c>
      <c r="H29" s="10">
        <f>NGAY_BAT_DAU+83</f>
        <v>46362</v>
      </c>
      <c r="I29" s="23" t="s">
        <v>276</v>
      </c>
      <c r="J29" s="7" t="s">
        <v>496</v>
      </c>
      <c r="K29" s="12"/>
    </row>
    <row r="30" spans="1:11" ht="36" customHeight="1" x14ac:dyDescent="0.35">
      <c r="A30" s="32" t="str">
        <f>"📅 TUẦN 13  ·  "&amp;TEXT(NGAY_BAT_DAU+84,"dd/mm/yyyy")&amp;" – "&amp;TEXT(NGAY_BAT_DAU+90,"dd/mm/yyyy")&amp;"  —  Phỏng vấn người bỏ · Phân loại v2 · Brief con dấu  │  🎯 Mục tiêu: Biết vì sao người ta bỏ; chốt nhãn phân loại; khởi động tài sản hình ảnh; nộp nhãn hiệu.  │  💡 Cuối tuần biết"&amp;" được: 3 lý do bỏ đầu bảng; nhãn phân loại đã chốt; ai thiết kế con dấu; nhãn hiệu đã nộp."</f>
        <v>📅 TUẦN 13  ·  07/12/2026 – 13/12/2026  —  Phỏng vấn người bỏ · Phân loại v2 · Brief con dấu  │  🎯 Mục tiêu: Biết vì sao người ta bỏ; chốt nhãn phân loại; khởi động tài sản hình ảnh; nộp nhãn hiệu.  │  💡 Cuối tuần biết được: 3 lý do bỏ đầu bảng; nhãn phân loại đã chốt; ai thiết kế con dấu; nhãn hiệu đã nộp.</v>
      </c>
      <c r="B30" s="33"/>
      <c r="C30" s="33"/>
      <c r="D30" s="33"/>
      <c r="E30" s="33"/>
      <c r="F30" s="33"/>
      <c r="G30" s="33"/>
      <c r="H30" s="33"/>
      <c r="I30" s="33"/>
      <c r="J30" s="33"/>
      <c r="K30" s="33"/>
    </row>
    <row r="31" spans="1:11" ht="81.650000000000006" customHeight="1" x14ac:dyDescent="0.35">
      <c r="A31" s="18">
        <v>22</v>
      </c>
      <c r="B31" s="46" t="s">
        <v>79</v>
      </c>
      <c r="C31" s="13" t="s">
        <v>497</v>
      </c>
      <c r="D31" s="14" t="s">
        <v>498</v>
      </c>
      <c r="E31" s="14"/>
      <c r="F31" s="16" t="s">
        <v>286</v>
      </c>
      <c r="G31" s="10">
        <f>NGAY_BAT_DAU+84</f>
        <v>46363</v>
      </c>
      <c r="H31" s="10">
        <f>NGAY_BAT_DAU+90</f>
        <v>46369</v>
      </c>
      <c r="I31" s="23" t="s">
        <v>276</v>
      </c>
      <c r="J31" s="14" t="s">
        <v>499</v>
      </c>
      <c r="K31" s="17"/>
    </row>
    <row r="32" spans="1:11" ht="43.75" customHeight="1" x14ac:dyDescent="0.35">
      <c r="A32" s="18">
        <v>23</v>
      </c>
      <c r="B32" s="39"/>
      <c r="C32" s="6" t="s">
        <v>500</v>
      </c>
      <c r="D32" s="7" t="s">
        <v>501</v>
      </c>
      <c r="E32" s="7"/>
      <c r="F32" s="9" t="s">
        <v>275</v>
      </c>
      <c r="G32" s="10">
        <f>NGAY_BAT_DAU+84</f>
        <v>46363</v>
      </c>
      <c r="H32" s="10">
        <f>NGAY_BAT_DAU+90</f>
        <v>46369</v>
      </c>
      <c r="I32" s="23" t="s">
        <v>276</v>
      </c>
      <c r="J32" s="7" t="s">
        <v>502</v>
      </c>
      <c r="K32" s="12"/>
    </row>
    <row r="33" spans="1:11" ht="94.25" customHeight="1" x14ac:dyDescent="0.35">
      <c r="A33" s="18">
        <v>24</v>
      </c>
      <c r="B33" s="39"/>
      <c r="C33" s="13" t="s">
        <v>503</v>
      </c>
      <c r="D33" s="14" t="s">
        <v>504</v>
      </c>
      <c r="E33" s="14"/>
      <c r="F33" s="16" t="s">
        <v>275</v>
      </c>
      <c r="G33" s="10">
        <f>NGAY_BAT_DAU+84</f>
        <v>46363</v>
      </c>
      <c r="H33" s="10">
        <f>NGAY_BAT_DAU+90</f>
        <v>46369</v>
      </c>
      <c r="I33" s="23" t="s">
        <v>276</v>
      </c>
      <c r="J33" s="14" t="s">
        <v>505</v>
      </c>
      <c r="K33" s="17"/>
    </row>
    <row r="34" spans="1:11" ht="56.4" customHeight="1" x14ac:dyDescent="0.35">
      <c r="A34" s="18">
        <v>25</v>
      </c>
      <c r="B34" s="39"/>
      <c r="C34" s="6" t="s">
        <v>506</v>
      </c>
      <c r="D34" s="7" t="s">
        <v>507</v>
      </c>
      <c r="E34" s="7"/>
      <c r="F34" s="9" t="s">
        <v>290</v>
      </c>
      <c r="G34" s="10">
        <f>NGAY_BAT_DAU+84</f>
        <v>46363</v>
      </c>
      <c r="H34" s="10">
        <f>NGAY_BAT_DAU+90</f>
        <v>46369</v>
      </c>
      <c r="I34" s="23" t="s">
        <v>276</v>
      </c>
      <c r="J34" s="7" t="s">
        <v>508</v>
      </c>
      <c r="K34" s="12"/>
    </row>
    <row r="35" spans="1:11" ht="43.75" customHeight="1" x14ac:dyDescent="0.35">
      <c r="A35" s="18">
        <v>26</v>
      </c>
      <c r="B35" s="40"/>
      <c r="C35" s="13" t="s">
        <v>509</v>
      </c>
      <c r="D35" s="14" t="s">
        <v>510</v>
      </c>
      <c r="E35" s="14"/>
      <c r="F35" s="16" t="s">
        <v>323</v>
      </c>
      <c r="G35" s="10">
        <f>NGAY_BAT_DAU+84</f>
        <v>46363</v>
      </c>
      <c r="H35" s="10">
        <f>NGAY_BAT_DAU+90</f>
        <v>46369</v>
      </c>
      <c r="I35" s="23" t="s">
        <v>276</v>
      </c>
      <c r="J35" s="14" t="s">
        <v>511</v>
      </c>
      <c r="K35" s="17"/>
    </row>
    <row r="36" spans="1:11" ht="30" customHeight="1" x14ac:dyDescent="0.35">
      <c r="A36" s="32" t="str">
        <f>"📅 TUẦN 14  ·  "&amp;TEXT(NGAY_BAT_DAU+91,"dd/mm/yyyy")&amp;" – "&amp;TEXT(NGAY_BAT_DAU+97,"dd/mm/yyyy")&amp;"  —  Kết chu kỳ 2  │  🎯 Mục tiêu: Kết 3 cược bằng số; chọn ≤ 3 tính năng đáng xây và vì sao; chi phí/người v0.  │  💡 Cuối tuần biết được: Cược C2 đúng/sai; 3 tính năng đáng xây và "&amp;"bằng chứng đứng sau; chi phí/người v0."</f>
        <v>📅 TUẦN 14  ·  14/12/2026 – 20/12/2026  —  Kết chu kỳ 2  │  🎯 Mục tiêu: Kết 3 cược bằng số; chọn ≤ 3 tính năng đáng xây và vì sao; chi phí/người v0.  │  💡 Cuối tuần biết được: Cược C2 đúng/sai; 3 tính năng đáng xây và bằng chứng đứng sau; chi phí/người v0.</v>
      </c>
      <c r="B36" s="33"/>
      <c r="C36" s="33"/>
      <c r="D36" s="33"/>
      <c r="E36" s="33"/>
      <c r="F36" s="33"/>
      <c r="G36" s="33"/>
      <c r="H36" s="33"/>
      <c r="I36" s="33"/>
      <c r="J36" s="33"/>
      <c r="K36" s="33"/>
    </row>
    <row r="37" spans="1:11" ht="43.75" customHeight="1" x14ac:dyDescent="0.35">
      <c r="A37" s="18">
        <v>27</v>
      </c>
      <c r="B37" s="46" t="s">
        <v>79</v>
      </c>
      <c r="C37" s="6" t="s">
        <v>512</v>
      </c>
      <c r="D37" s="7" t="s">
        <v>513</v>
      </c>
      <c r="E37" s="7"/>
      <c r="F37" s="9" t="s">
        <v>197</v>
      </c>
      <c r="G37" s="10">
        <f>NGAY_BAT_DAU+91</f>
        <v>46370</v>
      </c>
      <c r="H37" s="10">
        <f>NGAY_BAT_DAU+97</f>
        <v>46376</v>
      </c>
      <c r="I37" s="23" t="s">
        <v>276</v>
      </c>
      <c r="J37" s="7" t="s">
        <v>514</v>
      </c>
      <c r="K37" s="12"/>
    </row>
    <row r="38" spans="1:11" ht="69" customHeight="1" x14ac:dyDescent="0.35">
      <c r="A38" s="18">
        <v>28</v>
      </c>
      <c r="B38" s="39"/>
      <c r="C38" s="13" t="s">
        <v>515</v>
      </c>
      <c r="D38" s="14" t="s">
        <v>516</v>
      </c>
      <c r="E38" s="14"/>
      <c r="F38" s="16" t="s">
        <v>517</v>
      </c>
      <c r="G38" s="10">
        <f>NGAY_BAT_DAU+91</f>
        <v>46370</v>
      </c>
      <c r="H38" s="10">
        <f>NGAY_BAT_DAU+97</f>
        <v>46376</v>
      </c>
      <c r="I38" s="23" t="s">
        <v>276</v>
      </c>
      <c r="J38" s="14" t="s">
        <v>518</v>
      </c>
      <c r="K38" s="17"/>
    </row>
    <row r="39" spans="1:11" ht="43.75" customHeight="1" x14ac:dyDescent="0.35">
      <c r="A39" s="18">
        <v>29</v>
      </c>
      <c r="B39" s="39"/>
      <c r="C39" s="6" t="s">
        <v>519</v>
      </c>
      <c r="D39" s="7" t="s">
        <v>520</v>
      </c>
      <c r="E39" s="7"/>
      <c r="F39" s="9" t="s">
        <v>290</v>
      </c>
      <c r="G39" s="10">
        <f>NGAY_BAT_DAU+91</f>
        <v>46370</v>
      </c>
      <c r="H39" s="10">
        <f>NGAY_BAT_DAU+97</f>
        <v>46376</v>
      </c>
      <c r="I39" s="23" t="s">
        <v>276</v>
      </c>
      <c r="J39" s="7" t="s">
        <v>521</v>
      </c>
      <c r="K39" s="12"/>
    </row>
    <row r="40" spans="1:11" ht="28" customHeight="1" x14ac:dyDescent="0.35">
      <c r="A40" s="18">
        <v>30</v>
      </c>
      <c r="B40" s="40"/>
      <c r="C40" s="13" t="s">
        <v>522</v>
      </c>
      <c r="D40" s="14" t="s">
        <v>523</v>
      </c>
      <c r="E40" s="14"/>
      <c r="F40" s="16" t="s">
        <v>290</v>
      </c>
      <c r="G40" s="10">
        <f>NGAY_BAT_DAU+91</f>
        <v>46370</v>
      </c>
      <c r="H40" s="10">
        <f>NGAY_BAT_DAU+97</f>
        <v>46376</v>
      </c>
      <c r="I40" s="23" t="s">
        <v>276</v>
      </c>
      <c r="J40" s="14" t="s">
        <v>524</v>
      </c>
      <c r="K40" s="17"/>
    </row>
    <row r="41" spans="1:11" ht="30" customHeight="1" x14ac:dyDescent="0.35">
      <c r="A41" s="32" t="str">
        <f>"📅 TUẦN 15  ·  "&amp;TEXT(NGAY_BAT_DAU+98,"dd/mm/yyyy")&amp;" – "&amp;TEXT(NGAY_BAT_DAU+104,"dd/mm/yyyy")&amp;"  —  NGUỘI · Business.md 0.3 · Chọn 2 kênh (Bullseye)  │  🎯 Mục tiêu: Tài liệu và quyết định kênh; kiểm điều kiện phát hành. (Trùng kỳ thi học kỳ 1 — tải nhẹ.)  │  💡 Cuối tuần biết"&amp;" được: 2 kênh cho chu kỳ 3; production sẵn hay chưa."</f>
        <v>📅 TUẦN 15  ·  21/12/2026 – 27/12/2026  —  NGUỘI · Business.md 0.3 · Chọn 2 kênh (Bullseye)  │  🎯 Mục tiêu: Tài liệu và quyết định kênh; kiểm điều kiện phát hành. (Trùng kỳ thi học kỳ 1 — tải nhẹ.)  │  💡 Cuối tuần biết được: 2 kênh cho chu kỳ 3; production sẵn hay chưa.</v>
      </c>
      <c r="B41" s="33"/>
      <c r="C41" s="33"/>
      <c r="D41" s="33"/>
      <c r="E41" s="33"/>
      <c r="F41" s="33"/>
      <c r="G41" s="33"/>
      <c r="H41" s="33"/>
      <c r="I41" s="33"/>
      <c r="J41" s="33"/>
      <c r="K41" s="33"/>
    </row>
    <row r="42" spans="1:11" ht="43.75" customHeight="1" x14ac:dyDescent="0.35">
      <c r="A42" s="18">
        <v>31</v>
      </c>
      <c r="B42" s="46" t="s">
        <v>79</v>
      </c>
      <c r="C42" s="6" t="s">
        <v>525</v>
      </c>
      <c r="D42" s="7" t="s">
        <v>526</v>
      </c>
      <c r="E42" s="7"/>
      <c r="F42" s="9" t="s">
        <v>275</v>
      </c>
      <c r="G42" s="10">
        <f>NGAY_BAT_DAU+98</f>
        <v>46377</v>
      </c>
      <c r="H42" s="10">
        <f>NGAY_BAT_DAU+104</f>
        <v>46383</v>
      </c>
      <c r="I42" s="23" t="s">
        <v>276</v>
      </c>
      <c r="J42" s="7" t="s">
        <v>527</v>
      </c>
      <c r="K42" s="12"/>
    </row>
    <row r="43" spans="1:11" ht="43.75" customHeight="1" x14ac:dyDescent="0.35">
      <c r="A43" s="18">
        <v>32</v>
      </c>
      <c r="B43" s="39"/>
      <c r="C43" s="13" t="s">
        <v>528</v>
      </c>
      <c r="D43" s="14" t="s">
        <v>529</v>
      </c>
      <c r="E43" s="14"/>
      <c r="F43" s="16" t="s">
        <v>286</v>
      </c>
      <c r="G43" s="10">
        <f>NGAY_BAT_DAU+98</f>
        <v>46377</v>
      </c>
      <c r="H43" s="10">
        <f>NGAY_BAT_DAU+104</f>
        <v>46383</v>
      </c>
      <c r="I43" s="23" t="s">
        <v>276</v>
      </c>
      <c r="J43" s="14" t="s">
        <v>530</v>
      </c>
      <c r="K43" s="17"/>
    </row>
    <row r="44" spans="1:11" ht="56.4" customHeight="1" x14ac:dyDescent="0.35">
      <c r="A44" s="18">
        <v>33</v>
      </c>
      <c r="B44" s="39"/>
      <c r="C44" s="6" t="s">
        <v>531</v>
      </c>
      <c r="D44" s="7" t="s">
        <v>532</v>
      </c>
      <c r="E44" s="7"/>
      <c r="F44" s="9" t="s">
        <v>126</v>
      </c>
      <c r="G44" s="10">
        <f>NGAY_BAT_DAU+98</f>
        <v>46377</v>
      </c>
      <c r="H44" s="10">
        <f>NGAY_BAT_DAU+104</f>
        <v>46383</v>
      </c>
      <c r="I44" s="23" t="s">
        <v>276</v>
      </c>
      <c r="J44" s="7" t="s">
        <v>533</v>
      </c>
      <c r="K44" s="12"/>
    </row>
    <row r="45" spans="1:11" ht="31.25" customHeight="1" x14ac:dyDescent="0.35">
      <c r="A45" s="18">
        <v>34</v>
      </c>
      <c r="B45" s="40"/>
      <c r="C45" s="13" t="s">
        <v>534</v>
      </c>
      <c r="D45" s="14" t="s">
        <v>535</v>
      </c>
      <c r="E45" s="14"/>
      <c r="F45" s="16" t="s">
        <v>275</v>
      </c>
      <c r="G45" s="10">
        <f>NGAY_BAT_DAU+98</f>
        <v>46377</v>
      </c>
      <c r="H45" s="10">
        <f>NGAY_BAT_DAU+104</f>
        <v>46383</v>
      </c>
      <c r="I45" s="23" t="s">
        <v>276</v>
      </c>
      <c r="J45" s="14" t="s">
        <v>536</v>
      </c>
      <c r="K45" s="17"/>
    </row>
    <row r="46" spans="1:11" ht="30" customHeight="1" x14ac:dyDescent="0.35">
      <c r="A46" s="32" t="str">
        <f>"📅 TUẦN 16  ·  "&amp;TEXT(NGAY_BAT_DAU+105,"dd/mm/yyyy")&amp;" – "&amp;TEXT(NGAY_BAT_DAU+111,"dd/mm/yyyy")&amp;"  —  NGUỘI · Bàn cược C3 · Con dấu v1  │  🎯 Mục tiêu: Ba cược cho chu kỳ 3; bộ hình con dấu v1; kế hoạch chiến dịch trường.  │  💡 Cuối tuần biết được: Cược C3; tài sản hình ảnh v1;"&amp;" chiến dịch trường sẵn sàng."</f>
        <v>📅 TUẦN 16  ·  28/12/2026 – 03/01/2027  —  NGUỘI · Bàn cược C3 · Con dấu v1  │  🎯 Mục tiêu: Ba cược cho chu kỳ 3; bộ hình con dấu v1; kế hoạch chiến dịch trường.  │  💡 Cuối tuần biết được: Cược C3; tài sản hình ảnh v1; chiến dịch trường sẵn sàng.</v>
      </c>
      <c r="B46" s="33"/>
      <c r="C46" s="33"/>
      <c r="D46" s="33"/>
      <c r="E46" s="33"/>
      <c r="F46" s="33"/>
      <c r="G46" s="33"/>
      <c r="H46" s="33"/>
      <c r="I46" s="33"/>
      <c r="J46" s="33"/>
      <c r="K46" s="33"/>
    </row>
    <row r="47" spans="1:11" ht="69" customHeight="1" x14ac:dyDescent="0.35">
      <c r="A47" s="18">
        <v>35</v>
      </c>
      <c r="B47" s="46" t="s">
        <v>79</v>
      </c>
      <c r="C47" s="6" t="s">
        <v>537</v>
      </c>
      <c r="D47" s="7" t="s">
        <v>538</v>
      </c>
      <c r="E47" s="7"/>
      <c r="F47" s="9" t="s">
        <v>197</v>
      </c>
      <c r="G47" s="10">
        <f>NGAY_BAT_DAU+105</f>
        <v>46384</v>
      </c>
      <c r="H47" s="10">
        <f>NGAY_BAT_DAU+111</f>
        <v>46390</v>
      </c>
      <c r="I47" s="23" t="s">
        <v>276</v>
      </c>
      <c r="J47" s="7" t="s">
        <v>539</v>
      </c>
      <c r="K47" s="12"/>
    </row>
    <row r="48" spans="1:11" ht="31.25" customHeight="1" x14ac:dyDescent="0.35">
      <c r="A48" s="18">
        <v>36</v>
      </c>
      <c r="B48" s="39"/>
      <c r="C48" s="13" t="s">
        <v>540</v>
      </c>
      <c r="D48" s="14" t="s">
        <v>541</v>
      </c>
      <c r="E48" s="14"/>
      <c r="F48" s="16" t="s">
        <v>275</v>
      </c>
      <c r="G48" s="10">
        <f>NGAY_BAT_DAU+105</f>
        <v>46384</v>
      </c>
      <c r="H48" s="10">
        <f>NGAY_BAT_DAU+111</f>
        <v>46390</v>
      </c>
      <c r="I48" s="23" t="s">
        <v>276</v>
      </c>
      <c r="J48" s="14" t="s">
        <v>542</v>
      </c>
      <c r="K48" s="17"/>
    </row>
    <row r="49" spans="1:11" ht="43.75" customHeight="1" x14ac:dyDescent="0.35">
      <c r="A49" s="18">
        <v>37</v>
      </c>
      <c r="B49" s="39"/>
      <c r="C49" s="6" t="s">
        <v>543</v>
      </c>
      <c r="D49" s="7" t="s">
        <v>544</v>
      </c>
      <c r="E49" s="7"/>
      <c r="F49" s="9" t="s">
        <v>286</v>
      </c>
      <c r="G49" s="10">
        <f>NGAY_BAT_DAU+105</f>
        <v>46384</v>
      </c>
      <c r="H49" s="10">
        <f>NGAY_BAT_DAU+111</f>
        <v>46390</v>
      </c>
      <c r="I49" s="23" t="s">
        <v>276</v>
      </c>
      <c r="J49" s="7" t="s">
        <v>545</v>
      </c>
      <c r="K49" s="12"/>
    </row>
    <row r="50" spans="1:11" ht="28" customHeight="1" x14ac:dyDescent="0.35">
      <c r="A50" s="18">
        <v>38</v>
      </c>
      <c r="B50" s="40"/>
      <c r="C50" s="13" t="s">
        <v>546</v>
      </c>
      <c r="D50" s="14" t="s">
        <v>547</v>
      </c>
      <c r="E50" s="14"/>
      <c r="F50" s="16" t="s">
        <v>300</v>
      </c>
      <c r="G50" s="10">
        <f>NGAY_BAT_DAU+105</f>
        <v>46384</v>
      </c>
      <c r="H50" s="10">
        <f>NGAY_BAT_DAU+111</f>
        <v>46390</v>
      </c>
      <c r="I50" s="23" t="s">
        <v>276</v>
      </c>
      <c r="J50" s="14" t="s">
        <v>524</v>
      </c>
      <c r="K50" s="17"/>
    </row>
  </sheetData>
  <mergeCells count="18">
    <mergeCell ref="B47:B50"/>
    <mergeCell ref="A25:K25"/>
    <mergeCell ref="B26:B29"/>
    <mergeCell ref="A41:K41"/>
    <mergeCell ref="A46:K46"/>
    <mergeCell ref="A1:K1"/>
    <mergeCell ref="B42:B45"/>
    <mergeCell ref="A2:K2"/>
    <mergeCell ref="A19:K19"/>
    <mergeCell ref="B6:B11"/>
    <mergeCell ref="B20:B24"/>
    <mergeCell ref="B37:B40"/>
    <mergeCell ref="A5:K5"/>
    <mergeCell ref="A36:K36"/>
    <mergeCell ref="B31:B35"/>
    <mergeCell ref="A12:K12"/>
    <mergeCell ref="B13:B18"/>
    <mergeCell ref="A30:K30"/>
  </mergeCells>
  <conditionalFormatting sqref="I5:I50">
    <cfRule type="cellIs" dxfId="23" priority="1" operator="equal">
      <formula>"Xong"</formula>
    </cfRule>
    <cfRule type="cellIs" dxfId="22" priority="2" operator="equal">
      <formula>"Đang làm"</formula>
    </cfRule>
    <cfRule type="cellIs" dxfId="21" priority="3" operator="equal">
      <formula>"Cắt"</formula>
    </cfRule>
    <cfRule type="cellIs" dxfId="20" priority="4" operator="equal">
      <formula>"Tạm hoãn"</formula>
    </cfRule>
  </conditionalFormatting>
  <dataValidations count="1">
    <dataValidation type="list" allowBlank="1" sqref="I5:I50" xr:uid="{00000000-0002-0000-0200-000000000000}">
      <formula1>"Chưa bắt đầu,Đang làm,Xong,Cắt,Tạm hoãn"</formula1>
    </dataValidation>
  </dataValidations>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pageSetUpPr fitToPage="1"/>
  </sheetPr>
  <dimension ref="A1:K44"/>
  <sheetViews>
    <sheetView showGridLines="0" zoomScale="85" workbookViewId="0">
      <pane ySplit="4" topLeftCell="A5" activePane="bottomLeft" state="frozen"/>
      <selection pane="bottomLeft"/>
    </sheetView>
  </sheetViews>
  <sheetFormatPr defaultRowHeight="14.5" x14ac:dyDescent="0.35"/>
  <cols>
    <col min="1" max="1" width="6" customWidth="1"/>
    <col min="2" max="2" width="21" customWidth="1"/>
    <col min="3" max="3" width="34" customWidth="1"/>
    <col min="4" max="4" width="50" customWidth="1"/>
    <col min="5" max="5" width="34" customWidth="1"/>
    <col min="6" max="6" width="11" customWidth="1"/>
    <col min="7" max="8" width="14" customWidth="1"/>
    <col min="9" max="9" width="15" customWidth="1"/>
    <col min="10" max="10" width="40" customWidth="1"/>
    <col min="11" max="11" width="24" customWidth="1"/>
  </cols>
  <sheetData>
    <row r="1" spans="1:11" ht="32" customHeight="1" x14ac:dyDescent="0.35">
      <c r="A1" s="36" t="s">
        <v>548</v>
      </c>
      <c r="B1" s="37"/>
      <c r="C1" s="37"/>
      <c r="D1" s="37"/>
      <c r="E1" s="37"/>
      <c r="F1" s="37"/>
      <c r="G1" s="37"/>
      <c r="H1" s="37"/>
      <c r="I1" s="37"/>
      <c r="J1" s="37"/>
      <c r="K1" s="37"/>
    </row>
    <row r="2" spans="1:11" ht="19" customHeight="1" x14ac:dyDescent="0.35">
      <c r="A2" s="44" t="str">
        <f>"Tuần 17 – 24   │   "&amp;TEXT(NGAY_BAT_DAU+112,"dd/mm/yyyy")&amp;"  →  "&amp;TEXT(NGAY_BAT_DAU+167,"dd/mm/yyyy")&amp;"   │   6 tuần làm (T17–T22, có 2 tuần Tết) + 2 tuần nguội (T23–T24)   │   QUÝ 2 — GIAI ĐOẠN 2: BÁM DÍNH"</f>
        <v>Tuần 17 – 24   │   04/01/2027  →  28/02/2027   │   6 tuần làm (T17–T22, có 2 tuần Tết) + 2 tuần nguội (T23–T24)   │   QUÝ 2 — GIAI ĐOẠN 2: BÁM DÍNH</v>
      </c>
      <c r="B2" s="31"/>
      <c r="C2" s="31"/>
      <c r="D2" s="31"/>
      <c r="E2" s="31"/>
      <c r="F2" s="31"/>
      <c r="G2" s="31"/>
      <c r="H2" s="31"/>
      <c r="I2" s="31"/>
      <c r="J2" s="31"/>
      <c r="K2" s="31"/>
    </row>
    <row r="3" spans="1:11" ht="7" customHeight="1" x14ac:dyDescent="0.35"/>
    <row r="4" spans="1:11" ht="40" customHeight="1" x14ac:dyDescent="0.35">
      <c r="A4" s="4" t="s">
        <v>7</v>
      </c>
      <c r="B4" s="4" t="s">
        <v>8</v>
      </c>
      <c r="C4" s="4" t="s">
        <v>9</v>
      </c>
      <c r="D4" s="4" t="s">
        <v>10</v>
      </c>
      <c r="E4" s="4" t="s">
        <v>11</v>
      </c>
      <c r="F4" s="4" t="s">
        <v>12</v>
      </c>
      <c r="G4" s="4" t="s">
        <v>13</v>
      </c>
      <c r="H4" s="4" t="s">
        <v>14</v>
      </c>
      <c r="I4" s="4" t="s">
        <v>15</v>
      </c>
      <c r="J4" s="4" t="s">
        <v>16</v>
      </c>
      <c r="K4" s="4" t="s">
        <v>17</v>
      </c>
    </row>
    <row r="5" spans="1:11" ht="30" customHeight="1" x14ac:dyDescent="0.35">
      <c r="A5" s="32" t="str">
        <f>"📅 TUẦN 17  ·  "&amp;TEXT(NGAY_BAT_DAU+112,"dd/mm/yyyy")&amp;" – "&amp;TEXT(NGAY_BAT_DAU+118,"dd/mm/yyyy")&amp;"  —  Phát hành production · ASO · Chiến dịch trường 1  │  🎯 Mục tiêu: App công khai; trang cửa hàng mang con dấu; +30 người lạ.  │  💡 Cuối tuần biết được: Tỷ lệ kích hoạt của người"&amp;" LẠ so với cohort quen; quay lại 30 ngày đầu tiên."</f>
        <v>📅 TUẦN 17  ·  04/01/2027 – 10/01/2027  —  Phát hành production · ASO · Chiến dịch trường 1  │  🎯 Mục tiêu: App công khai; trang cửa hàng mang con dấu; +30 người lạ.  │  💡 Cuối tuần biết được: Tỷ lệ kích hoạt của người LẠ so với cohort quen; quay lại 30 ngày đầu tiên.</v>
      </c>
      <c r="B5" s="33"/>
      <c r="C5" s="33"/>
      <c r="D5" s="33"/>
      <c r="E5" s="33"/>
      <c r="F5" s="33"/>
      <c r="G5" s="33"/>
      <c r="H5" s="33"/>
      <c r="I5" s="33"/>
      <c r="J5" s="33"/>
      <c r="K5" s="33"/>
    </row>
    <row r="6" spans="1:11" ht="31.25" customHeight="1" x14ac:dyDescent="0.35">
      <c r="A6" s="18">
        <v>1</v>
      </c>
      <c r="B6" s="46" t="s">
        <v>79</v>
      </c>
      <c r="C6" s="6" t="s">
        <v>549</v>
      </c>
      <c r="D6" s="7" t="s">
        <v>550</v>
      </c>
      <c r="E6" s="7"/>
      <c r="F6" s="9" t="s">
        <v>300</v>
      </c>
      <c r="G6" s="10">
        <f>NGAY_BAT_DAU+112</f>
        <v>46391</v>
      </c>
      <c r="H6" s="10">
        <f>NGAY_BAT_DAU+118</f>
        <v>46397</v>
      </c>
      <c r="I6" s="23" t="s">
        <v>276</v>
      </c>
      <c r="J6" s="7" t="s">
        <v>551</v>
      </c>
      <c r="K6" s="12"/>
    </row>
    <row r="7" spans="1:11" ht="56.4" customHeight="1" x14ac:dyDescent="0.35">
      <c r="A7" s="18">
        <v>2</v>
      </c>
      <c r="B7" s="39"/>
      <c r="C7" s="13" t="s">
        <v>552</v>
      </c>
      <c r="D7" s="14" t="s">
        <v>553</v>
      </c>
      <c r="E7" s="14"/>
      <c r="F7" s="16" t="s">
        <v>554</v>
      </c>
      <c r="G7" s="10">
        <f>NGAY_BAT_DAU+112</f>
        <v>46391</v>
      </c>
      <c r="H7" s="10">
        <f>NGAY_BAT_DAU+118</f>
        <v>46397</v>
      </c>
      <c r="I7" s="23" t="s">
        <v>276</v>
      </c>
      <c r="J7" s="14" t="s">
        <v>555</v>
      </c>
      <c r="K7" s="17"/>
    </row>
    <row r="8" spans="1:11" ht="43.75" customHeight="1" x14ac:dyDescent="0.35">
      <c r="A8" s="18">
        <v>3</v>
      </c>
      <c r="B8" s="39"/>
      <c r="C8" s="6" t="s">
        <v>556</v>
      </c>
      <c r="D8" s="7" t="s">
        <v>557</v>
      </c>
      <c r="E8" s="7"/>
      <c r="F8" s="9" t="s">
        <v>286</v>
      </c>
      <c r="G8" s="10">
        <f>NGAY_BAT_DAU+112</f>
        <v>46391</v>
      </c>
      <c r="H8" s="10">
        <f>NGAY_BAT_DAU+118</f>
        <v>46397</v>
      </c>
      <c r="I8" s="23" t="s">
        <v>276</v>
      </c>
      <c r="J8" s="7" t="s">
        <v>558</v>
      </c>
      <c r="K8" s="12"/>
    </row>
    <row r="9" spans="1:11" ht="43.75" customHeight="1" x14ac:dyDescent="0.35">
      <c r="A9" s="18">
        <v>4</v>
      </c>
      <c r="B9" s="39"/>
      <c r="C9" s="13" t="s">
        <v>559</v>
      </c>
      <c r="D9" s="14" t="s">
        <v>560</v>
      </c>
      <c r="E9" s="14"/>
      <c r="F9" s="16" t="s">
        <v>323</v>
      </c>
      <c r="G9" s="10">
        <f>NGAY_BAT_DAU+112</f>
        <v>46391</v>
      </c>
      <c r="H9" s="10">
        <f>NGAY_BAT_DAU+118</f>
        <v>46397</v>
      </c>
      <c r="I9" s="23" t="s">
        <v>276</v>
      </c>
      <c r="J9" s="14" t="s">
        <v>561</v>
      </c>
      <c r="K9" s="17"/>
    </row>
    <row r="10" spans="1:11" ht="31.25" customHeight="1" x14ac:dyDescent="0.35">
      <c r="A10" s="18">
        <v>5</v>
      </c>
      <c r="B10" s="40"/>
      <c r="C10" s="6" t="s">
        <v>562</v>
      </c>
      <c r="D10" s="7" t="s">
        <v>563</v>
      </c>
      <c r="E10" s="7"/>
      <c r="F10" s="9" t="s">
        <v>290</v>
      </c>
      <c r="G10" s="10">
        <f>NGAY_BAT_DAU+112</f>
        <v>46391</v>
      </c>
      <c r="H10" s="10">
        <f>NGAY_BAT_DAU+118</f>
        <v>46397</v>
      </c>
      <c r="I10" s="23" t="s">
        <v>276</v>
      </c>
      <c r="J10" s="7" t="s">
        <v>564</v>
      </c>
      <c r="K10" s="12"/>
    </row>
    <row r="11" spans="1:11" ht="30" customHeight="1" x14ac:dyDescent="0.35">
      <c r="A11" s="32" t="str">
        <f>"📅 TUẦN 18  ·  "&amp;TEXT(NGAY_BAT_DAU+119,"dd/mm/yyyy")&amp;" – "&amp;TEXT(NGAY_BAT_DAU+125,"dd/mm/yyyy")&amp;"  —  Mở rộng cohort · Nội dung 2 kênh · Xác minh hotline  │  🎯 Mục tiêu: +30 người; số cài theo kênh; biết hotline nào thật; tính năng 1 ra mắt.  │  💡 Cuối tuần biết được: Số cài t"&amp;"heo kênh; hotline nào thật; cộng dồn +60 người."</f>
        <v>📅 TUẦN 18  ·  11/01/2027 – 17/01/2027  —  Mở rộng cohort · Nội dung 2 kênh · Xác minh hotline  │  🎯 Mục tiêu: +30 người; số cài theo kênh; biết hotline nào thật; tính năng 1 ra mắt.  │  💡 Cuối tuần biết được: Số cài theo kênh; hotline nào thật; cộng dồn +60 người.</v>
      </c>
      <c r="B11" s="33"/>
      <c r="C11" s="33"/>
      <c r="D11" s="33"/>
      <c r="E11" s="33"/>
      <c r="F11" s="33"/>
      <c r="G11" s="33"/>
      <c r="H11" s="33"/>
      <c r="I11" s="33"/>
      <c r="J11" s="33"/>
      <c r="K11" s="33"/>
    </row>
    <row r="12" spans="1:11" ht="56.4" customHeight="1" x14ac:dyDescent="0.35">
      <c r="A12" s="18">
        <v>6</v>
      </c>
      <c r="B12" s="46" t="s">
        <v>79</v>
      </c>
      <c r="C12" s="13" t="s">
        <v>565</v>
      </c>
      <c r="D12" s="14" t="s">
        <v>566</v>
      </c>
      <c r="E12" s="14"/>
      <c r="F12" s="16" t="s">
        <v>286</v>
      </c>
      <c r="G12" s="10">
        <f>NGAY_BAT_DAU+119</f>
        <v>46398</v>
      </c>
      <c r="H12" s="10">
        <f>NGAY_BAT_DAU+125</f>
        <v>46404</v>
      </c>
      <c r="I12" s="23" t="s">
        <v>276</v>
      </c>
      <c r="J12" s="14" t="s">
        <v>567</v>
      </c>
      <c r="K12" s="17"/>
    </row>
    <row r="13" spans="1:11" ht="28" customHeight="1" x14ac:dyDescent="0.35">
      <c r="A13" s="18">
        <v>7</v>
      </c>
      <c r="B13" s="39"/>
      <c r="C13" s="6" t="s">
        <v>568</v>
      </c>
      <c r="D13" s="7" t="s">
        <v>569</v>
      </c>
      <c r="E13" s="7"/>
      <c r="F13" s="9" t="s">
        <v>300</v>
      </c>
      <c r="G13" s="10">
        <f>NGAY_BAT_DAU+119</f>
        <v>46398</v>
      </c>
      <c r="H13" s="10">
        <f>NGAY_BAT_DAU+125</f>
        <v>46404</v>
      </c>
      <c r="I13" s="23" t="s">
        <v>276</v>
      </c>
      <c r="J13" s="7" t="s">
        <v>570</v>
      </c>
      <c r="K13" s="12"/>
    </row>
    <row r="14" spans="1:11" ht="69" customHeight="1" x14ac:dyDescent="0.35">
      <c r="A14" s="18">
        <v>8</v>
      </c>
      <c r="B14" s="39"/>
      <c r="C14" s="13" t="s">
        <v>571</v>
      </c>
      <c r="D14" s="14" t="s">
        <v>572</v>
      </c>
      <c r="E14" s="14"/>
      <c r="F14" s="16" t="s">
        <v>323</v>
      </c>
      <c r="G14" s="10">
        <f>NGAY_BAT_DAU+119</f>
        <v>46398</v>
      </c>
      <c r="H14" s="10">
        <f>NGAY_BAT_DAU+125</f>
        <v>46404</v>
      </c>
      <c r="I14" s="23" t="s">
        <v>276</v>
      </c>
      <c r="J14" s="14" t="s">
        <v>573</v>
      </c>
      <c r="K14" s="17"/>
    </row>
    <row r="15" spans="1:11" ht="28" customHeight="1" x14ac:dyDescent="0.35">
      <c r="A15" s="18">
        <v>9</v>
      </c>
      <c r="B15" s="40"/>
      <c r="C15" s="6" t="s">
        <v>574</v>
      </c>
      <c r="D15" s="7" t="s">
        <v>575</v>
      </c>
      <c r="E15" s="7"/>
      <c r="F15" s="9" t="s">
        <v>286</v>
      </c>
      <c r="G15" s="10">
        <f>NGAY_BAT_DAU+119</f>
        <v>46398</v>
      </c>
      <c r="H15" s="10">
        <f>NGAY_BAT_DAU+125</f>
        <v>46404</v>
      </c>
      <c r="I15" s="23" t="s">
        <v>276</v>
      </c>
      <c r="J15" s="7" t="s">
        <v>576</v>
      </c>
      <c r="K15" s="12"/>
    </row>
    <row r="16" spans="1:11" ht="30" customHeight="1" x14ac:dyDescent="0.35">
      <c r="A16" s="32" t="str">
        <f>"📅 TUẦN 19  ·  "&amp;TEXT(NGAY_BAT_DAU+126,"dd/mm/yyyy")&amp;" – "&amp;TEXT(NGAY_BAT_DAU+132,"dd/mm/yyyy")&amp;"  —  Dòng tiền v2 · Kinh tế đơn vị · Giá hộ chiếu in  │  🎯 Mục tiêu: Biết chi phí mỗi người dùng/tháng, kênh CAC thấp nhất, và giá hộ chiếu in dự kiến.  │  💡 Cuối tuần biết được: C"&amp;"hi phí/người/tháng; kênh CAC thấp nhất; giá hộ chiếu in."</f>
        <v>📅 TUẦN 19  ·  18/01/2027 – 24/01/2027  —  Dòng tiền v2 · Kinh tế đơn vị · Giá hộ chiếu in  │  🎯 Mục tiêu: Biết chi phí mỗi người dùng/tháng, kênh CAC thấp nhất, và giá hộ chiếu in dự kiến.  │  💡 Cuối tuần biết được: Chi phí/người/tháng; kênh CAC thấp nhất; giá hộ chiếu in.</v>
      </c>
      <c r="B16" s="33"/>
      <c r="C16" s="33"/>
      <c r="D16" s="33"/>
      <c r="E16" s="33"/>
      <c r="F16" s="33"/>
      <c r="G16" s="33"/>
      <c r="H16" s="33"/>
      <c r="I16" s="33"/>
      <c r="J16" s="33"/>
      <c r="K16" s="33"/>
    </row>
    <row r="17" spans="1:11" ht="81.650000000000006" customHeight="1" x14ac:dyDescent="0.35">
      <c r="A17" s="18">
        <v>10</v>
      </c>
      <c r="B17" s="46" t="s">
        <v>79</v>
      </c>
      <c r="C17" s="13" t="s">
        <v>577</v>
      </c>
      <c r="D17" s="14" t="s">
        <v>578</v>
      </c>
      <c r="E17" s="14"/>
      <c r="F17" s="16" t="s">
        <v>290</v>
      </c>
      <c r="G17" s="10">
        <f>NGAY_BAT_DAU+126</f>
        <v>46405</v>
      </c>
      <c r="H17" s="10">
        <f>NGAY_BAT_DAU+132</f>
        <v>46411</v>
      </c>
      <c r="I17" s="23" t="s">
        <v>276</v>
      </c>
      <c r="J17" s="14" t="s">
        <v>579</v>
      </c>
      <c r="K17" s="17"/>
    </row>
    <row r="18" spans="1:11" ht="69" customHeight="1" x14ac:dyDescent="0.35">
      <c r="A18" s="18">
        <v>11</v>
      </c>
      <c r="B18" s="39"/>
      <c r="C18" s="6" t="s">
        <v>580</v>
      </c>
      <c r="D18" s="7" t="s">
        <v>581</v>
      </c>
      <c r="E18" s="7"/>
      <c r="F18" s="9" t="s">
        <v>275</v>
      </c>
      <c r="G18" s="10">
        <f>NGAY_BAT_DAU+126</f>
        <v>46405</v>
      </c>
      <c r="H18" s="10">
        <f>NGAY_BAT_DAU+132</f>
        <v>46411</v>
      </c>
      <c r="I18" s="23" t="s">
        <v>276</v>
      </c>
      <c r="J18" s="7" t="s">
        <v>582</v>
      </c>
      <c r="K18" s="12"/>
    </row>
    <row r="19" spans="1:11" ht="28" customHeight="1" x14ac:dyDescent="0.35">
      <c r="A19" s="18">
        <v>12</v>
      </c>
      <c r="B19" s="39"/>
      <c r="C19" s="13" t="s">
        <v>583</v>
      </c>
      <c r="D19" s="14" t="s">
        <v>584</v>
      </c>
      <c r="E19" s="14"/>
      <c r="F19" s="16" t="s">
        <v>300</v>
      </c>
      <c r="G19" s="10">
        <f>NGAY_BAT_DAU+126</f>
        <v>46405</v>
      </c>
      <c r="H19" s="10">
        <f>NGAY_BAT_DAU+132</f>
        <v>46411</v>
      </c>
      <c r="I19" s="23" t="s">
        <v>276</v>
      </c>
      <c r="J19" s="14" t="s">
        <v>585</v>
      </c>
      <c r="K19" s="17"/>
    </row>
    <row r="20" spans="1:11" ht="31.25" customHeight="1" x14ac:dyDescent="0.35">
      <c r="A20" s="18">
        <v>13</v>
      </c>
      <c r="B20" s="40"/>
      <c r="C20" s="6" t="s">
        <v>586</v>
      </c>
      <c r="D20" s="7" t="s">
        <v>587</v>
      </c>
      <c r="E20" s="7"/>
      <c r="F20" s="9" t="s">
        <v>286</v>
      </c>
      <c r="G20" s="10">
        <f>NGAY_BAT_DAU+126</f>
        <v>46405</v>
      </c>
      <c r="H20" s="10">
        <f>NGAY_BAT_DAU+132</f>
        <v>46411</v>
      </c>
      <c r="I20" s="23" t="s">
        <v>276</v>
      </c>
      <c r="J20" s="7" t="s">
        <v>588</v>
      </c>
      <c r="K20" s="12"/>
    </row>
    <row r="21" spans="1:11" ht="30" customHeight="1" x14ac:dyDescent="0.35">
      <c r="A21" s="32" t="str">
        <f>"📅 TUẦN 20  ·  "&amp;TEXT(NGAY_BAT_DAU+133,"dd/mm/yyyy")&amp;" – "&amp;TEXT(NGAY_BAT_DAU+139,"dd/mm/yyyy")&amp;"  —  Chuẩn bị Tết · Khảo sát Sean Ellis đợt 2  │  🎯 Mục tiêu: Nội dung Tết lên lịch; khảo sát đợt 2; kế hoạch trực Tết.  │  💡 Cuối tuần biết được: Kết quả khảo sát đợt 2; nhóm biết"&amp;" ai làm gì trong Tết."</f>
        <v>📅 TUẦN 20  ·  25/01/2027 – 31/01/2027  —  Chuẩn bị Tết · Khảo sát Sean Ellis đợt 2  │  🎯 Mục tiêu: Nội dung Tết lên lịch; khảo sát đợt 2; kế hoạch trực Tết.  │  💡 Cuối tuần biết được: Kết quả khảo sát đợt 2; nhóm biết ai làm gì trong Tết.</v>
      </c>
      <c r="B21" s="33"/>
      <c r="C21" s="33"/>
      <c r="D21" s="33"/>
      <c r="E21" s="33"/>
      <c r="F21" s="33"/>
      <c r="G21" s="33"/>
      <c r="H21" s="33"/>
      <c r="I21" s="33"/>
      <c r="J21" s="33"/>
      <c r="K21" s="33"/>
    </row>
    <row r="22" spans="1:11" ht="56.4" customHeight="1" x14ac:dyDescent="0.35">
      <c r="A22" s="18">
        <v>14</v>
      </c>
      <c r="B22" s="46" t="s">
        <v>79</v>
      </c>
      <c r="C22" s="13" t="s">
        <v>589</v>
      </c>
      <c r="D22" s="14" t="s">
        <v>590</v>
      </c>
      <c r="E22" s="14"/>
      <c r="F22" s="16" t="s">
        <v>286</v>
      </c>
      <c r="G22" s="10">
        <f>NGAY_BAT_DAU+133</f>
        <v>46412</v>
      </c>
      <c r="H22" s="10">
        <f>NGAY_BAT_DAU+139</f>
        <v>46418</v>
      </c>
      <c r="I22" s="23" t="s">
        <v>276</v>
      </c>
      <c r="J22" s="14" t="s">
        <v>591</v>
      </c>
      <c r="K22" s="17"/>
    </row>
    <row r="23" spans="1:11" ht="31.25" customHeight="1" x14ac:dyDescent="0.35">
      <c r="A23" s="18">
        <v>15</v>
      </c>
      <c r="B23" s="39"/>
      <c r="C23" s="6" t="s">
        <v>592</v>
      </c>
      <c r="D23" s="7" t="s">
        <v>593</v>
      </c>
      <c r="E23" s="7"/>
      <c r="F23" s="9" t="s">
        <v>290</v>
      </c>
      <c r="G23" s="10">
        <f>NGAY_BAT_DAU+133</f>
        <v>46412</v>
      </c>
      <c r="H23" s="10">
        <f>NGAY_BAT_DAU+139</f>
        <v>46418</v>
      </c>
      <c r="I23" s="23" t="s">
        <v>276</v>
      </c>
      <c r="J23" s="7" t="s">
        <v>594</v>
      </c>
      <c r="K23" s="12"/>
    </row>
    <row r="24" spans="1:11" ht="28" customHeight="1" x14ac:dyDescent="0.35">
      <c r="A24" s="18">
        <v>16</v>
      </c>
      <c r="B24" s="39"/>
      <c r="C24" s="13" t="s">
        <v>595</v>
      </c>
      <c r="D24" s="14" t="s">
        <v>584</v>
      </c>
      <c r="E24" s="14"/>
      <c r="F24" s="16" t="s">
        <v>300</v>
      </c>
      <c r="G24" s="10">
        <f>NGAY_BAT_DAU+133</f>
        <v>46412</v>
      </c>
      <c r="H24" s="10">
        <f>NGAY_BAT_DAU+139</f>
        <v>46418</v>
      </c>
      <c r="I24" s="23" t="s">
        <v>276</v>
      </c>
      <c r="J24" s="14"/>
      <c r="K24" s="17"/>
    </row>
    <row r="25" spans="1:11" ht="31.25" customHeight="1" x14ac:dyDescent="0.35">
      <c r="A25" s="18">
        <v>17</v>
      </c>
      <c r="B25" s="39"/>
      <c r="C25" s="6" t="s">
        <v>596</v>
      </c>
      <c r="D25" s="7" t="s">
        <v>597</v>
      </c>
      <c r="E25" s="7"/>
      <c r="F25" s="9" t="s">
        <v>323</v>
      </c>
      <c r="G25" s="10">
        <f>NGAY_BAT_DAU+133</f>
        <v>46412</v>
      </c>
      <c r="H25" s="10">
        <f>NGAY_BAT_DAU+139</f>
        <v>46418</v>
      </c>
      <c r="I25" s="23" t="s">
        <v>276</v>
      </c>
      <c r="J25" s="7" t="s">
        <v>598</v>
      </c>
      <c r="K25" s="12"/>
    </row>
    <row r="26" spans="1:11" ht="31.25" customHeight="1" x14ac:dyDescent="0.35">
      <c r="A26" s="18">
        <v>18</v>
      </c>
      <c r="B26" s="40"/>
      <c r="C26" s="13" t="s">
        <v>599</v>
      </c>
      <c r="D26" s="14" t="s">
        <v>600</v>
      </c>
      <c r="E26" s="14"/>
      <c r="F26" s="16" t="s">
        <v>290</v>
      </c>
      <c r="G26" s="10">
        <f>NGAY_BAT_DAU+133</f>
        <v>46412</v>
      </c>
      <c r="H26" s="10">
        <f>NGAY_BAT_DAU+139</f>
        <v>46418</v>
      </c>
      <c r="I26" s="23" t="s">
        <v>276</v>
      </c>
      <c r="J26" s="14" t="s">
        <v>524</v>
      </c>
      <c r="K26" s="17"/>
    </row>
    <row r="27" spans="1:11" ht="30" customHeight="1" x14ac:dyDescent="0.35">
      <c r="A27" s="32" t="str">
        <f>"📅 TUẦN 21  ·  "&amp;TEXT(NGAY_BAT_DAU+140,"dd/mm/yyyy")&amp;" – "&amp;TEXT(NGAY_BAT_DAU+146,"dd/mm/yyyy")&amp;"  —  TẾT (tuần đệm) — theo dõi số  │  🎯 Mục tiêu: Giữ nhịp tối thiểu, không xếp cược nặng. Tết Nguyên đán 2027 (06/02).  │  💡 Cuối tuần biết được: Hành vi dịp Tết — tỉnh nào được đ"&amp;"óng dấu nhiều, chia sẻ có tăng không."</f>
        <v>📅 TUẦN 21  ·  01/02/2027 – 07/02/2027  —  TẾT (tuần đệm) — theo dõi số  │  🎯 Mục tiêu: Giữ nhịp tối thiểu, không xếp cược nặng. Tết Nguyên đán 2027 (06/02).  │  💡 Cuối tuần biết được: Hành vi dịp Tết — tỉnh nào được đóng dấu nhiều, chia sẻ có tăng không.</v>
      </c>
      <c r="B27" s="33"/>
      <c r="C27" s="33"/>
      <c r="D27" s="33"/>
      <c r="E27" s="33"/>
      <c r="F27" s="33"/>
      <c r="G27" s="33"/>
      <c r="H27" s="33"/>
      <c r="I27" s="33"/>
      <c r="J27" s="33"/>
      <c r="K27" s="33"/>
    </row>
    <row r="28" spans="1:11" ht="31.25" customHeight="1" x14ac:dyDescent="0.35">
      <c r="A28" s="18">
        <v>19</v>
      </c>
      <c r="B28" s="46" t="s">
        <v>79</v>
      </c>
      <c r="C28" s="6" t="s">
        <v>601</v>
      </c>
      <c r="D28" s="7" t="s">
        <v>602</v>
      </c>
      <c r="E28" s="7"/>
      <c r="F28" s="9" t="s">
        <v>290</v>
      </c>
      <c r="G28" s="10">
        <f>NGAY_BAT_DAU+140</f>
        <v>46419</v>
      </c>
      <c r="H28" s="10">
        <f>NGAY_BAT_DAU+146</f>
        <v>46425</v>
      </c>
      <c r="I28" s="23" t="s">
        <v>276</v>
      </c>
      <c r="J28" s="7" t="s">
        <v>603</v>
      </c>
      <c r="K28" s="12"/>
    </row>
    <row r="29" spans="1:11" ht="28" customHeight="1" x14ac:dyDescent="0.35">
      <c r="A29" s="18">
        <v>20</v>
      </c>
      <c r="B29" s="39"/>
      <c r="C29" s="13" t="s">
        <v>604</v>
      </c>
      <c r="D29" s="14" t="s">
        <v>605</v>
      </c>
      <c r="E29" s="14"/>
      <c r="F29" s="16" t="s">
        <v>300</v>
      </c>
      <c r="G29" s="10">
        <f>NGAY_BAT_DAU+140</f>
        <v>46419</v>
      </c>
      <c r="H29" s="10">
        <f>NGAY_BAT_DAU+146</f>
        <v>46425</v>
      </c>
      <c r="I29" s="23" t="s">
        <v>276</v>
      </c>
      <c r="J29" s="14" t="s">
        <v>466</v>
      </c>
      <c r="K29" s="17"/>
    </row>
    <row r="30" spans="1:11" ht="28" customHeight="1" x14ac:dyDescent="0.35">
      <c r="A30" s="18">
        <v>21</v>
      </c>
      <c r="B30" s="39"/>
      <c r="C30" s="6" t="s">
        <v>606</v>
      </c>
      <c r="D30" s="7" t="s">
        <v>607</v>
      </c>
      <c r="E30" s="7"/>
      <c r="F30" s="9" t="s">
        <v>286</v>
      </c>
      <c r="G30" s="10">
        <f>NGAY_BAT_DAU+140</f>
        <v>46419</v>
      </c>
      <c r="H30" s="10">
        <f>NGAY_BAT_DAU+146</f>
        <v>46425</v>
      </c>
      <c r="I30" s="23" t="s">
        <v>276</v>
      </c>
      <c r="J30" s="7" t="s">
        <v>608</v>
      </c>
      <c r="K30" s="12"/>
    </row>
    <row r="31" spans="1:11" ht="28" customHeight="1" x14ac:dyDescent="0.35">
      <c r="A31" s="18">
        <v>22</v>
      </c>
      <c r="B31" s="40"/>
      <c r="C31" s="13" t="s">
        <v>609</v>
      </c>
      <c r="D31" s="14" t="s">
        <v>610</v>
      </c>
      <c r="E31" s="14"/>
      <c r="F31" s="16" t="s">
        <v>197</v>
      </c>
      <c r="G31" s="10">
        <f>NGAY_BAT_DAU+140</f>
        <v>46419</v>
      </c>
      <c r="H31" s="10">
        <f>NGAY_BAT_DAU+146</f>
        <v>46425</v>
      </c>
      <c r="I31" s="23" t="s">
        <v>276</v>
      </c>
      <c r="J31" s="14"/>
      <c r="K31" s="17"/>
    </row>
    <row r="32" spans="1:11" ht="30" customHeight="1" x14ac:dyDescent="0.35">
      <c r="A32" s="32" t="str">
        <f>"📅 TUẦN 22  ·  "&amp;TEXT(NGAY_BAT_DAU+147,"dd/mm/yyyy")&amp;" – "&amp;TEXT(NGAY_BAT_DAU+153,"dd/mm/yyyy")&amp;"  —  TẾT (tuần đệm) — nghỉ  │  🎯 Mục tiêu: Nghỉ Tết. Không họp hoặc họp 30'.  │  💡 Cuối tuần biết được: (gộp với T21)"</f>
        <v>📅 TUẦN 22  ·  08/02/2027 – 14/02/2027  —  TẾT (tuần đệm) — nghỉ  │  🎯 Mục tiêu: Nghỉ Tết. Không họp hoặc họp 30'.  │  💡 Cuối tuần biết được: (gộp với T21)</v>
      </c>
      <c r="B32" s="33"/>
      <c r="C32" s="33"/>
      <c r="D32" s="33"/>
      <c r="E32" s="33"/>
      <c r="F32" s="33"/>
      <c r="G32" s="33"/>
      <c r="H32" s="33"/>
      <c r="I32" s="33"/>
      <c r="J32" s="33"/>
      <c r="K32" s="33"/>
    </row>
    <row r="33" spans="1:11" ht="31.25" customHeight="1" x14ac:dyDescent="0.35">
      <c r="A33" s="18">
        <v>23</v>
      </c>
      <c r="B33" s="22" t="s">
        <v>79</v>
      </c>
      <c r="C33" s="6" t="s">
        <v>611</v>
      </c>
      <c r="D33" s="7" t="s">
        <v>612</v>
      </c>
      <c r="E33" s="7"/>
      <c r="F33" s="9" t="s">
        <v>126</v>
      </c>
      <c r="G33" s="10">
        <f>NGAY_BAT_DAU+147</f>
        <v>46426</v>
      </c>
      <c r="H33" s="10">
        <f>NGAY_BAT_DAU+153</f>
        <v>46432</v>
      </c>
      <c r="I33" s="23" t="s">
        <v>276</v>
      </c>
      <c r="J33" s="7" t="s">
        <v>613</v>
      </c>
      <c r="K33" s="12"/>
    </row>
    <row r="34" spans="1:11" ht="30" customHeight="1" x14ac:dyDescent="0.35">
      <c r="A34" s="32" t="str">
        <f>"📅 TUẦN 23  ·  "&amp;TEXT(NGAY_BAT_DAU+154,"dd/mm/yyyy")&amp;" – "&amp;TEXT(NGAY_BAT_DAU+160,"dd/mm/yyyy")&amp;"  —  NGUỘI · Kết chu kỳ 3 · Phân tích Tết · Phỏng vấn ở lại/bỏ  │  🎯 Mục tiêu: Kết C3; quay lại 30 ngày thật; biết điều gì giữ người.  │  💡 Cuối tuần biết được: Điều gì giữ người ở"&amp;" lại — con dấu, bạn bè, hay lịch trình; quay lại 30 ngày thật."</f>
        <v>📅 TUẦN 23  ·  15/02/2027 – 21/02/2027  —  NGUỘI · Kết chu kỳ 3 · Phân tích Tết · Phỏng vấn ở lại/bỏ  │  🎯 Mục tiêu: Kết C3; quay lại 30 ngày thật; biết điều gì giữ người.  │  💡 Cuối tuần biết được: Điều gì giữ người ở lại — con dấu, bạn bè, hay lịch trình; quay lại 30 ngày thật.</v>
      </c>
      <c r="B34" s="33"/>
      <c r="C34" s="33"/>
      <c r="D34" s="33"/>
      <c r="E34" s="33"/>
      <c r="F34" s="33"/>
      <c r="G34" s="33"/>
      <c r="H34" s="33"/>
      <c r="I34" s="33"/>
      <c r="J34" s="33"/>
      <c r="K34" s="33"/>
    </row>
    <row r="35" spans="1:11" ht="43.75" customHeight="1" x14ac:dyDescent="0.35">
      <c r="A35" s="18">
        <v>24</v>
      </c>
      <c r="B35" s="46" t="s">
        <v>79</v>
      </c>
      <c r="C35" s="13" t="s">
        <v>614</v>
      </c>
      <c r="D35" s="14" t="s">
        <v>615</v>
      </c>
      <c r="E35" s="14"/>
      <c r="F35" s="16" t="s">
        <v>197</v>
      </c>
      <c r="G35" s="10">
        <f>NGAY_BAT_DAU+154</f>
        <v>46433</v>
      </c>
      <c r="H35" s="10">
        <f>NGAY_BAT_DAU+160</f>
        <v>46439</v>
      </c>
      <c r="I35" s="23" t="s">
        <v>276</v>
      </c>
      <c r="J35" s="14" t="s">
        <v>616</v>
      </c>
      <c r="K35" s="17"/>
    </row>
    <row r="36" spans="1:11" ht="31.25" customHeight="1" x14ac:dyDescent="0.35">
      <c r="A36" s="18">
        <v>25</v>
      </c>
      <c r="B36" s="39"/>
      <c r="C36" s="6" t="s">
        <v>617</v>
      </c>
      <c r="D36" s="7" t="s">
        <v>618</v>
      </c>
      <c r="E36" s="7"/>
      <c r="F36" s="9" t="s">
        <v>290</v>
      </c>
      <c r="G36" s="10">
        <f>NGAY_BAT_DAU+154</f>
        <v>46433</v>
      </c>
      <c r="H36" s="10">
        <f>NGAY_BAT_DAU+160</f>
        <v>46439</v>
      </c>
      <c r="I36" s="23" t="s">
        <v>276</v>
      </c>
      <c r="J36" s="7" t="s">
        <v>619</v>
      </c>
      <c r="K36" s="12"/>
    </row>
    <row r="37" spans="1:11" ht="28" customHeight="1" x14ac:dyDescent="0.35">
      <c r="A37" s="18">
        <v>26</v>
      </c>
      <c r="B37" s="39"/>
      <c r="C37" s="13" t="s">
        <v>620</v>
      </c>
      <c r="D37" s="14" t="s">
        <v>621</v>
      </c>
      <c r="E37" s="14"/>
      <c r="F37" s="16" t="s">
        <v>622</v>
      </c>
      <c r="G37" s="10">
        <f>NGAY_BAT_DAU+154</f>
        <v>46433</v>
      </c>
      <c r="H37" s="10">
        <f>NGAY_BAT_DAU+160</f>
        <v>46439</v>
      </c>
      <c r="I37" s="23" t="s">
        <v>276</v>
      </c>
      <c r="J37" s="14" t="s">
        <v>623</v>
      </c>
      <c r="K37" s="17"/>
    </row>
    <row r="38" spans="1:11" ht="43.75" customHeight="1" x14ac:dyDescent="0.35">
      <c r="A38" s="18">
        <v>27</v>
      </c>
      <c r="B38" s="39"/>
      <c r="C38" s="6" t="s">
        <v>624</v>
      </c>
      <c r="D38" s="7" t="s">
        <v>625</v>
      </c>
      <c r="E38" s="7"/>
      <c r="F38" s="9" t="s">
        <v>286</v>
      </c>
      <c r="G38" s="10">
        <f>NGAY_BAT_DAU+154</f>
        <v>46433</v>
      </c>
      <c r="H38" s="10">
        <f>NGAY_BAT_DAU+160</f>
        <v>46439</v>
      </c>
      <c r="I38" s="23" t="s">
        <v>276</v>
      </c>
      <c r="J38" s="7" t="s">
        <v>626</v>
      </c>
      <c r="K38" s="12"/>
    </row>
    <row r="39" spans="1:11" ht="28" customHeight="1" x14ac:dyDescent="0.35">
      <c r="A39" s="18">
        <v>28</v>
      </c>
      <c r="B39" s="40"/>
      <c r="C39" s="13" t="s">
        <v>627</v>
      </c>
      <c r="D39" s="14" t="s">
        <v>628</v>
      </c>
      <c r="E39" s="14"/>
      <c r="F39" s="16" t="s">
        <v>275</v>
      </c>
      <c r="G39" s="10">
        <f>NGAY_BAT_DAU+154</f>
        <v>46433</v>
      </c>
      <c r="H39" s="10">
        <f>NGAY_BAT_DAU+160</f>
        <v>46439</v>
      </c>
      <c r="I39" s="23" t="s">
        <v>276</v>
      </c>
      <c r="J39" s="14" t="s">
        <v>629</v>
      </c>
      <c r="K39" s="17"/>
    </row>
    <row r="40" spans="1:11" ht="30" customHeight="1" x14ac:dyDescent="0.35">
      <c r="A40" s="32" t="str">
        <f>"📅 TUẦN 24  ·  "&amp;TEXT(NGAY_BAT_DAU+161,"dd/mm/yyyy")&amp;" – "&amp;TEXT(NGAY_BAT_DAU+167,"dd/mm/yyyy")&amp;"  —  CỔNG QUÝ 2 · ADR pháp nhân · Bàn cược C4  │  🎯 Mục tiêu: Qua cổng hay không; quyết định pháp nhân; Rocks Q3; ba cược C4.  │  💡 Cuối tuần biết được: Qua cổng hay không; pháp nh"&amp;"ân khi nào và loại hình gì; cược C4."</f>
        <v>📅 TUẦN 24  ·  22/02/2027 – 28/02/2027  —  CỔNG QUÝ 2 · ADR pháp nhân · Bàn cược C4  │  🎯 Mục tiêu: Qua cổng hay không; quyết định pháp nhân; Rocks Q3; ba cược C4.  │  💡 Cuối tuần biết được: Qua cổng hay không; pháp nhân khi nào và loại hình gì; cược C4.</v>
      </c>
      <c r="B40" s="33"/>
      <c r="C40" s="33"/>
      <c r="D40" s="33"/>
      <c r="E40" s="33"/>
      <c r="F40" s="33"/>
      <c r="G40" s="33"/>
      <c r="H40" s="33"/>
      <c r="I40" s="33"/>
      <c r="J40" s="33"/>
      <c r="K40" s="33"/>
    </row>
    <row r="41" spans="1:11" ht="43.75" customHeight="1" x14ac:dyDescent="0.35">
      <c r="A41" s="18">
        <v>29</v>
      </c>
      <c r="B41" s="46" t="s">
        <v>79</v>
      </c>
      <c r="C41" s="6" t="s">
        <v>630</v>
      </c>
      <c r="D41" s="7" t="s">
        <v>631</v>
      </c>
      <c r="E41" s="7"/>
      <c r="F41" s="9" t="s">
        <v>197</v>
      </c>
      <c r="G41" s="10">
        <f>NGAY_BAT_DAU+161</f>
        <v>46440</v>
      </c>
      <c r="H41" s="10">
        <f>NGAY_BAT_DAU+167</f>
        <v>46446</v>
      </c>
      <c r="I41" s="23" t="s">
        <v>276</v>
      </c>
      <c r="J41" s="7" t="s">
        <v>632</v>
      </c>
      <c r="K41" s="12"/>
    </row>
    <row r="42" spans="1:11" ht="94.25" customHeight="1" x14ac:dyDescent="0.35">
      <c r="A42" s="18">
        <v>30</v>
      </c>
      <c r="B42" s="39"/>
      <c r="C42" s="13" t="s">
        <v>633</v>
      </c>
      <c r="D42" s="14" t="s">
        <v>634</v>
      </c>
      <c r="E42" s="14"/>
      <c r="F42" s="16" t="s">
        <v>635</v>
      </c>
      <c r="G42" s="10">
        <f>NGAY_BAT_DAU+161</f>
        <v>46440</v>
      </c>
      <c r="H42" s="10">
        <f>NGAY_BAT_DAU+167</f>
        <v>46446</v>
      </c>
      <c r="I42" s="23" t="s">
        <v>276</v>
      </c>
      <c r="J42" s="14" t="s">
        <v>636</v>
      </c>
      <c r="K42" s="17"/>
    </row>
    <row r="43" spans="1:11" ht="43.75" customHeight="1" x14ac:dyDescent="0.35">
      <c r="A43" s="18">
        <v>31</v>
      </c>
      <c r="B43" s="39"/>
      <c r="C43" s="6" t="s">
        <v>637</v>
      </c>
      <c r="D43" s="7" t="s">
        <v>638</v>
      </c>
      <c r="E43" s="7"/>
      <c r="F43" s="9" t="s">
        <v>290</v>
      </c>
      <c r="G43" s="10">
        <f>NGAY_BAT_DAU+161</f>
        <v>46440</v>
      </c>
      <c r="H43" s="10">
        <f>NGAY_BAT_DAU+167</f>
        <v>46446</v>
      </c>
      <c r="I43" s="23" t="s">
        <v>276</v>
      </c>
      <c r="J43" s="7" t="s">
        <v>639</v>
      </c>
      <c r="K43" s="12"/>
    </row>
    <row r="44" spans="1:11" ht="56.4" customHeight="1" x14ac:dyDescent="0.35">
      <c r="A44" s="18">
        <v>32</v>
      </c>
      <c r="B44" s="40"/>
      <c r="C44" s="13" t="s">
        <v>640</v>
      </c>
      <c r="D44" s="14" t="s">
        <v>641</v>
      </c>
      <c r="E44" s="14"/>
      <c r="F44" s="16" t="s">
        <v>197</v>
      </c>
      <c r="G44" s="10">
        <f>NGAY_BAT_DAU+161</f>
        <v>46440</v>
      </c>
      <c r="H44" s="10">
        <f>NGAY_BAT_DAU+167</f>
        <v>46446</v>
      </c>
      <c r="I44" s="23" t="s">
        <v>276</v>
      </c>
      <c r="J44" s="14" t="s">
        <v>642</v>
      </c>
      <c r="K44" s="17"/>
    </row>
  </sheetData>
  <mergeCells count="17">
    <mergeCell ref="A32:K32"/>
    <mergeCell ref="B41:B44"/>
    <mergeCell ref="A1:K1"/>
    <mergeCell ref="A40:K40"/>
    <mergeCell ref="A27:K27"/>
    <mergeCell ref="B12:B15"/>
    <mergeCell ref="A2:K2"/>
    <mergeCell ref="A11:K11"/>
    <mergeCell ref="A16:K16"/>
    <mergeCell ref="B6:B10"/>
    <mergeCell ref="A5:K5"/>
    <mergeCell ref="A34:K34"/>
    <mergeCell ref="B17:B20"/>
    <mergeCell ref="A21:K21"/>
    <mergeCell ref="B28:B31"/>
    <mergeCell ref="B35:B39"/>
    <mergeCell ref="B22:B26"/>
  </mergeCells>
  <conditionalFormatting sqref="I5:I44">
    <cfRule type="cellIs" dxfId="19" priority="1" operator="equal">
      <formula>"Xong"</formula>
    </cfRule>
    <cfRule type="cellIs" dxfId="18" priority="2" operator="equal">
      <formula>"Đang làm"</formula>
    </cfRule>
    <cfRule type="cellIs" dxfId="17" priority="3" operator="equal">
      <formula>"Cắt"</formula>
    </cfRule>
    <cfRule type="cellIs" dxfId="16" priority="4" operator="equal">
      <formula>"Tạm hoãn"</formula>
    </cfRule>
  </conditionalFormatting>
  <dataValidations count="1">
    <dataValidation type="list" allowBlank="1" sqref="I5:I44" xr:uid="{00000000-0002-0000-0300-000000000000}">
      <formula1>"Chưa bắt đầu,Đang làm,Xong,Cắt,Tạm hoãn"</formula1>
    </dataValidation>
  </dataValidations>
  <pageMargins left="0.75" right="0.75" top="1" bottom="1" header="0.5" footer="0.5"/>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7D31"/>
    <pageSetUpPr fitToPage="1"/>
  </sheetPr>
  <dimension ref="A1:K45"/>
  <sheetViews>
    <sheetView showGridLines="0" zoomScale="85" workbookViewId="0">
      <pane ySplit="4" topLeftCell="A5" activePane="bottomLeft" state="frozen"/>
      <selection pane="bottomLeft"/>
    </sheetView>
  </sheetViews>
  <sheetFormatPr defaultRowHeight="14.5" x14ac:dyDescent="0.35"/>
  <cols>
    <col min="1" max="1" width="6" customWidth="1"/>
    <col min="2" max="2" width="21" customWidth="1"/>
    <col min="3" max="3" width="34" customWidth="1"/>
    <col min="4" max="4" width="50" customWidth="1"/>
    <col min="5" max="5" width="34" customWidth="1"/>
    <col min="6" max="6" width="11" customWidth="1"/>
    <col min="7" max="8" width="14" customWidth="1"/>
    <col min="9" max="9" width="15" customWidth="1"/>
    <col min="10" max="10" width="40" customWidth="1"/>
    <col min="11" max="11" width="24" customWidth="1"/>
  </cols>
  <sheetData>
    <row r="1" spans="1:11" ht="32" customHeight="1" x14ac:dyDescent="0.35">
      <c r="A1" s="36" t="s">
        <v>643</v>
      </c>
      <c r="B1" s="37"/>
      <c r="C1" s="37"/>
      <c r="D1" s="37"/>
      <c r="E1" s="37"/>
      <c r="F1" s="37"/>
      <c r="G1" s="37"/>
      <c r="H1" s="37"/>
      <c r="I1" s="37"/>
      <c r="J1" s="37"/>
      <c r="K1" s="37"/>
    </row>
    <row r="2" spans="1:11" ht="19" customHeight="1" x14ac:dyDescent="0.35">
      <c r="A2" s="44" t="str">
        <f>"Tuần 25 – 32   │   "&amp;TEXT(NGAY_BAT_DAU+168,"dd/mm/yyyy")&amp;"  →  "&amp;TEXT(NGAY_BAT_DAU+223,"dd/mm/yyyy")&amp;"   │   6 tuần làm (T25–T30) + 2 tuần nguội (T31–T32)   │   QUÝ 3 — GIAI ĐOẠN 3: LAN TRUYỀN &amp; CHUẨN BỊ DOANH THU"</f>
        <v>Tuần 25 – 32   │   01/03/2027  →  25/04/2027   │   6 tuần làm (T25–T30) + 2 tuần nguội (T31–T32)   │   QUÝ 3 — GIAI ĐOẠN 3: LAN TRUYỀN &amp; CHUẨN BỊ DOANH THU</v>
      </c>
      <c r="B2" s="31"/>
      <c r="C2" s="31"/>
      <c r="D2" s="31"/>
      <c r="E2" s="31"/>
      <c r="F2" s="31"/>
      <c r="G2" s="31"/>
      <c r="H2" s="31"/>
      <c r="I2" s="31"/>
      <c r="J2" s="31"/>
      <c r="K2" s="31"/>
    </row>
    <row r="3" spans="1:11" ht="7" customHeight="1" x14ac:dyDescent="0.35"/>
    <row r="4" spans="1:11" ht="40" customHeight="1" x14ac:dyDescent="0.35">
      <c r="A4" s="4" t="s">
        <v>7</v>
      </c>
      <c r="B4" s="4" t="s">
        <v>8</v>
      </c>
      <c r="C4" s="4" t="s">
        <v>9</v>
      </c>
      <c r="D4" s="4" t="s">
        <v>10</v>
      </c>
      <c r="E4" s="4" t="s">
        <v>11</v>
      </c>
      <c r="F4" s="4" t="s">
        <v>12</v>
      </c>
      <c r="G4" s="4" t="s">
        <v>13</v>
      </c>
      <c r="H4" s="4" t="s">
        <v>14</v>
      </c>
      <c r="I4" s="4" t="s">
        <v>15</v>
      </c>
      <c r="J4" s="4" t="s">
        <v>16</v>
      </c>
      <c r="K4" s="4" t="s">
        <v>17</v>
      </c>
    </row>
    <row r="5" spans="1:11" ht="30" customHeight="1" x14ac:dyDescent="0.35">
      <c r="A5" s="32" t="str">
        <f>"📅 TUẦN 25  ·  "&amp;TEXT(NGAY_BAT_DAU+168,"dd/mm/yyyy")&amp;" – "&amp;TEXT(NGAY_BAT_DAU+174,"dd/mm/yyyy")&amp;"  —  Đặt trước hộ chiếu in · Hồ sơ DN · Mời chuyến đi chung  │  🎯 Mục tiêu: Trang đặt trước sống; hồ sơ DN đủ; nhóm đi chung đủ người; cơ chế mời có.  │  💡 Cuối tuần biết được: Tỷ "&amp;"lệ xem → đăng ký ngày đầu; nhóm đi chung đã đủ người."</f>
        <v>📅 TUẦN 25  ·  01/03/2027 – 07/03/2027  —  Đặt trước hộ chiếu in · Hồ sơ DN · Mời chuyến đi chung  │  🎯 Mục tiêu: Trang đặt trước sống; hồ sơ DN đủ; nhóm đi chung đủ người; cơ chế mời có.  │  💡 Cuối tuần biết được: Tỷ lệ xem → đăng ký ngày đầu; nhóm đi chung đã đủ người.</v>
      </c>
      <c r="B5" s="33"/>
      <c r="C5" s="33"/>
      <c r="D5" s="33"/>
      <c r="E5" s="33"/>
      <c r="F5" s="33"/>
      <c r="G5" s="33"/>
      <c r="H5" s="33"/>
      <c r="I5" s="33"/>
      <c r="J5" s="33"/>
      <c r="K5" s="33"/>
    </row>
    <row r="6" spans="1:11" ht="69" customHeight="1" x14ac:dyDescent="0.35">
      <c r="A6" s="19">
        <v>1</v>
      </c>
      <c r="B6" s="46" t="s">
        <v>138</v>
      </c>
      <c r="C6" s="6" t="s">
        <v>644</v>
      </c>
      <c r="D6" s="7" t="s">
        <v>645</v>
      </c>
      <c r="E6" s="7"/>
      <c r="F6" s="9" t="s">
        <v>554</v>
      </c>
      <c r="G6" s="10">
        <f>NGAY_BAT_DAU+168</f>
        <v>46447</v>
      </c>
      <c r="H6" s="10">
        <f>NGAY_BAT_DAU+174</f>
        <v>46453</v>
      </c>
      <c r="I6" s="23" t="s">
        <v>276</v>
      </c>
      <c r="J6" s="7" t="s">
        <v>646</v>
      </c>
      <c r="K6" s="12"/>
    </row>
    <row r="7" spans="1:11" ht="56.4" customHeight="1" x14ac:dyDescent="0.35">
      <c r="A7" s="19">
        <v>2</v>
      </c>
      <c r="B7" s="39"/>
      <c r="C7" s="13" t="s">
        <v>647</v>
      </c>
      <c r="D7" s="14" t="s">
        <v>648</v>
      </c>
      <c r="E7" s="14"/>
      <c r="F7" s="16" t="s">
        <v>290</v>
      </c>
      <c r="G7" s="10">
        <f>NGAY_BAT_DAU+168</f>
        <v>46447</v>
      </c>
      <c r="H7" s="10">
        <f>NGAY_BAT_DAU+174</f>
        <v>46453</v>
      </c>
      <c r="I7" s="23" t="s">
        <v>276</v>
      </c>
      <c r="J7" s="14" t="s">
        <v>649</v>
      </c>
      <c r="K7" s="17"/>
    </row>
    <row r="8" spans="1:11" ht="69" customHeight="1" x14ac:dyDescent="0.35">
      <c r="A8" s="19">
        <v>3</v>
      </c>
      <c r="B8" s="39"/>
      <c r="C8" s="6" t="s">
        <v>650</v>
      </c>
      <c r="D8" s="7" t="s">
        <v>651</v>
      </c>
      <c r="E8" s="7"/>
      <c r="F8" s="9" t="s">
        <v>323</v>
      </c>
      <c r="G8" s="10">
        <f>NGAY_BAT_DAU+168</f>
        <v>46447</v>
      </c>
      <c r="H8" s="10">
        <f>NGAY_BAT_DAU+174</f>
        <v>46453</v>
      </c>
      <c r="I8" s="23" t="s">
        <v>276</v>
      </c>
      <c r="J8" s="7" t="s">
        <v>652</v>
      </c>
      <c r="K8" s="12"/>
    </row>
    <row r="9" spans="1:11" ht="31.25" customHeight="1" x14ac:dyDescent="0.35">
      <c r="A9" s="19">
        <v>4</v>
      </c>
      <c r="B9" s="40"/>
      <c r="C9" s="13" t="s">
        <v>653</v>
      </c>
      <c r="D9" s="14" t="s">
        <v>654</v>
      </c>
      <c r="E9" s="14"/>
      <c r="F9" s="16" t="s">
        <v>300</v>
      </c>
      <c r="G9" s="10">
        <f>NGAY_BAT_DAU+168</f>
        <v>46447</v>
      </c>
      <c r="H9" s="10">
        <f>NGAY_BAT_DAU+174</f>
        <v>46453</v>
      </c>
      <c r="I9" s="23" t="s">
        <v>276</v>
      </c>
      <c r="J9" s="14" t="s">
        <v>655</v>
      </c>
      <c r="K9" s="17"/>
    </row>
    <row r="10" spans="1:11" ht="30" customHeight="1" x14ac:dyDescent="0.35">
      <c r="A10" s="32" t="str">
        <f>"📅 TUẦN 26  ·  "&amp;TEXT(NGAY_BAT_DAU+175,"dd/mm/yyyy")&amp;" – "&amp;TEXT(NGAY_BAT_DAU+181,"dd/mm/yyyy")&amp;"  —  Nộp hồ sơ DN · Chọn kế toán · 10 creator  │  🎯 Mục tiêu: Hồ sơ nộp; kế toán chọn; K sơ bộ; 10 creator có liên hệ.  │  💡 Cuối tuần biết được: DN đến đâu; K sơ bộ; creator phản "&amp;"hồi thế nào."</f>
        <v>📅 TUẦN 26  ·  08/03/2027 – 14/03/2027  —  Nộp hồ sơ DN · Chọn kế toán · 10 creator  │  🎯 Mục tiêu: Hồ sơ nộp; kế toán chọn; K sơ bộ; 10 creator có liên hệ.  │  💡 Cuối tuần biết được: DN đến đâu; K sơ bộ; creator phản hồi thế nào.</v>
      </c>
      <c r="B10" s="33"/>
      <c r="C10" s="33"/>
      <c r="D10" s="33"/>
      <c r="E10" s="33"/>
      <c r="F10" s="33"/>
      <c r="G10" s="33"/>
      <c r="H10" s="33"/>
      <c r="I10" s="33"/>
      <c r="J10" s="33"/>
      <c r="K10" s="33"/>
    </row>
    <row r="11" spans="1:11" ht="56.4" customHeight="1" x14ac:dyDescent="0.35">
      <c r="A11" s="19">
        <v>5</v>
      </c>
      <c r="B11" s="46" t="s">
        <v>138</v>
      </c>
      <c r="C11" s="6" t="s">
        <v>656</v>
      </c>
      <c r="D11" s="7" t="s">
        <v>657</v>
      </c>
      <c r="E11" s="7"/>
      <c r="F11" s="9" t="s">
        <v>290</v>
      </c>
      <c r="G11" s="10">
        <f>NGAY_BAT_DAU+175</f>
        <v>46454</v>
      </c>
      <c r="H11" s="10">
        <f>NGAY_BAT_DAU+181</f>
        <v>46460</v>
      </c>
      <c r="I11" s="23" t="s">
        <v>276</v>
      </c>
      <c r="J11" s="7" t="s">
        <v>658</v>
      </c>
      <c r="K11" s="12"/>
    </row>
    <row r="12" spans="1:11" ht="43.75" customHeight="1" x14ac:dyDescent="0.35">
      <c r="A12" s="19">
        <v>6</v>
      </c>
      <c r="B12" s="39"/>
      <c r="C12" s="13" t="s">
        <v>659</v>
      </c>
      <c r="D12" s="14" t="s">
        <v>660</v>
      </c>
      <c r="E12" s="14"/>
      <c r="F12" s="16" t="s">
        <v>290</v>
      </c>
      <c r="G12" s="10">
        <f>NGAY_BAT_DAU+175</f>
        <v>46454</v>
      </c>
      <c r="H12" s="10">
        <f>NGAY_BAT_DAU+181</f>
        <v>46460</v>
      </c>
      <c r="I12" s="23" t="s">
        <v>276</v>
      </c>
      <c r="J12" s="14" t="s">
        <v>661</v>
      </c>
      <c r="K12" s="17"/>
    </row>
    <row r="13" spans="1:11" ht="31.25" customHeight="1" x14ac:dyDescent="0.35">
      <c r="A13" s="19">
        <v>7</v>
      </c>
      <c r="B13" s="39"/>
      <c r="C13" s="6" t="s">
        <v>662</v>
      </c>
      <c r="D13" s="7" t="s">
        <v>663</v>
      </c>
      <c r="E13" s="7"/>
      <c r="F13" s="9" t="s">
        <v>323</v>
      </c>
      <c r="G13" s="10">
        <f>NGAY_BAT_DAU+175</f>
        <v>46454</v>
      </c>
      <c r="H13" s="10">
        <f>NGAY_BAT_DAU+181</f>
        <v>46460</v>
      </c>
      <c r="I13" s="23" t="s">
        <v>276</v>
      </c>
      <c r="J13" s="7" t="s">
        <v>664</v>
      </c>
      <c r="K13" s="12"/>
    </row>
    <row r="14" spans="1:11" ht="31.25" customHeight="1" x14ac:dyDescent="0.35">
      <c r="A14" s="19">
        <v>8</v>
      </c>
      <c r="B14" s="39"/>
      <c r="C14" s="13" t="s">
        <v>665</v>
      </c>
      <c r="D14" s="14" t="s">
        <v>666</v>
      </c>
      <c r="E14" s="14"/>
      <c r="F14" s="16" t="s">
        <v>286</v>
      </c>
      <c r="G14" s="10">
        <f>NGAY_BAT_DAU+175</f>
        <v>46454</v>
      </c>
      <c r="H14" s="10">
        <f>NGAY_BAT_DAU+181</f>
        <v>46460</v>
      </c>
      <c r="I14" s="23" t="s">
        <v>276</v>
      </c>
      <c r="J14" s="14" t="s">
        <v>667</v>
      </c>
      <c r="K14" s="17"/>
    </row>
    <row r="15" spans="1:11" ht="81.650000000000006" customHeight="1" x14ac:dyDescent="0.35">
      <c r="A15" s="19">
        <v>9</v>
      </c>
      <c r="B15" s="40"/>
      <c r="C15" s="6" t="s">
        <v>668</v>
      </c>
      <c r="D15" s="7" t="s">
        <v>669</v>
      </c>
      <c r="E15" s="7"/>
      <c r="F15" s="9" t="s">
        <v>275</v>
      </c>
      <c r="G15" s="10">
        <f>NGAY_BAT_DAU+175</f>
        <v>46454</v>
      </c>
      <c r="H15" s="10">
        <f>NGAY_BAT_DAU+181</f>
        <v>46460</v>
      </c>
      <c r="I15" s="23" t="s">
        <v>276</v>
      </c>
      <c r="J15" s="7" t="s">
        <v>670</v>
      </c>
      <c r="K15" s="12"/>
    </row>
    <row r="16" spans="1:11" ht="30" customHeight="1" x14ac:dyDescent="0.35">
      <c r="A16" s="32" t="str">
        <f>"📅 TUẦN 27  ·  "&amp;TEXT(NGAY_BAT_DAU+182,"dd/mm/yyyy")&amp;" – "&amp;TEXT(NGAY_BAT_DAU+188,"dd/mm/yyyy")&amp;"  —  Chuyến đi chung thủ công #1 · Kế toán vào việc  │  🎯 Mục tiêu: Biết điều kiện tin cậy tối thiểu; kế toán chạy; 5 creator đăng bài.  │  💡 Cuối tuần biết được: Điều kiện tin cậy"&amp;" tối thiểu để đi cùng người lạ; kế toán đã chạy."</f>
        <v>📅 TUẦN 27  ·  15/03/2027 – 21/03/2027  —  Chuyến đi chung thủ công #1 · Kế toán vào việc  │  🎯 Mục tiêu: Biết điều kiện tin cậy tối thiểu; kế toán chạy; 5 creator đăng bài.  │  💡 Cuối tuần biết được: Điều kiện tin cậy tối thiểu để đi cùng người lạ; kế toán đã chạy.</v>
      </c>
      <c r="B16" s="33"/>
      <c r="C16" s="33"/>
      <c r="D16" s="33"/>
      <c r="E16" s="33"/>
      <c r="F16" s="33"/>
      <c r="G16" s="33"/>
      <c r="H16" s="33"/>
      <c r="I16" s="33"/>
      <c r="J16" s="33"/>
      <c r="K16" s="33"/>
    </row>
    <row r="17" spans="1:11" ht="69" customHeight="1" x14ac:dyDescent="0.35">
      <c r="A17" s="19">
        <v>10</v>
      </c>
      <c r="B17" s="46" t="s">
        <v>138</v>
      </c>
      <c r="C17" s="13" t="s">
        <v>671</v>
      </c>
      <c r="D17" s="14" t="s">
        <v>672</v>
      </c>
      <c r="E17" s="14"/>
      <c r="F17" s="16" t="s">
        <v>323</v>
      </c>
      <c r="G17" s="10">
        <f>NGAY_BAT_DAU+182</f>
        <v>46461</v>
      </c>
      <c r="H17" s="10">
        <f>NGAY_BAT_DAU+188</f>
        <v>46467</v>
      </c>
      <c r="I17" s="23" t="s">
        <v>276</v>
      </c>
      <c r="J17" s="14" t="s">
        <v>673</v>
      </c>
      <c r="K17" s="17"/>
    </row>
    <row r="18" spans="1:11" ht="69" customHeight="1" x14ac:dyDescent="0.35">
      <c r="A18" s="19">
        <v>11</v>
      </c>
      <c r="B18" s="39"/>
      <c r="C18" s="6" t="s">
        <v>674</v>
      </c>
      <c r="D18" s="7" t="s">
        <v>675</v>
      </c>
      <c r="E18" s="7"/>
      <c r="F18" s="9" t="s">
        <v>290</v>
      </c>
      <c r="G18" s="10">
        <f>NGAY_BAT_DAU+182</f>
        <v>46461</v>
      </c>
      <c r="H18" s="10">
        <f>NGAY_BAT_DAU+188</f>
        <v>46467</v>
      </c>
      <c r="I18" s="23" t="s">
        <v>276</v>
      </c>
      <c r="J18" s="7" t="s">
        <v>676</v>
      </c>
      <c r="K18" s="12"/>
    </row>
    <row r="19" spans="1:11" ht="43.75" customHeight="1" x14ac:dyDescent="0.35">
      <c r="A19" s="19">
        <v>12</v>
      </c>
      <c r="B19" s="39"/>
      <c r="C19" s="13" t="s">
        <v>677</v>
      </c>
      <c r="D19" s="14" t="s">
        <v>678</v>
      </c>
      <c r="E19" s="14"/>
      <c r="F19" s="16" t="s">
        <v>286</v>
      </c>
      <c r="G19" s="10">
        <f>NGAY_BAT_DAU+182</f>
        <v>46461</v>
      </c>
      <c r="H19" s="10">
        <f>NGAY_BAT_DAU+188</f>
        <v>46467</v>
      </c>
      <c r="I19" s="23" t="s">
        <v>276</v>
      </c>
      <c r="J19" s="14" t="s">
        <v>679</v>
      </c>
      <c r="K19" s="17"/>
    </row>
    <row r="20" spans="1:11" ht="31.25" customHeight="1" x14ac:dyDescent="0.35">
      <c r="A20" s="19">
        <v>13</v>
      </c>
      <c r="B20" s="39"/>
      <c r="C20" s="6" t="s">
        <v>680</v>
      </c>
      <c r="D20" s="7" t="s">
        <v>681</v>
      </c>
      <c r="E20" s="7"/>
      <c r="F20" s="9" t="s">
        <v>275</v>
      </c>
      <c r="G20" s="10">
        <f>NGAY_BAT_DAU+182</f>
        <v>46461</v>
      </c>
      <c r="H20" s="10">
        <f>NGAY_BAT_DAU+188</f>
        <v>46467</v>
      </c>
      <c r="I20" s="23" t="s">
        <v>276</v>
      </c>
      <c r="J20" s="7" t="s">
        <v>682</v>
      </c>
      <c r="K20" s="12"/>
    </row>
    <row r="21" spans="1:11" ht="28" customHeight="1" x14ac:dyDescent="0.35">
      <c r="A21" s="19">
        <v>14</v>
      </c>
      <c r="B21" s="40"/>
      <c r="C21" s="13" t="s">
        <v>683</v>
      </c>
      <c r="D21" s="14" t="s">
        <v>684</v>
      </c>
      <c r="E21" s="14"/>
      <c r="F21" s="16" t="s">
        <v>286</v>
      </c>
      <c r="G21" s="10">
        <f>NGAY_BAT_DAU+182</f>
        <v>46461</v>
      </c>
      <c r="H21" s="10">
        <f>NGAY_BAT_DAU+188</f>
        <v>46467</v>
      </c>
      <c r="I21" s="23" t="s">
        <v>276</v>
      </c>
      <c r="J21" s="14"/>
      <c r="K21" s="17"/>
    </row>
    <row r="22" spans="1:11" ht="30" customHeight="1" x14ac:dyDescent="0.35">
      <c r="A22" s="32" t="str">
        <f>"📅 TUẦN 28  ·  "&amp;TEXT(NGAY_BAT_DAU+189,"dd/mm/yyyy")&amp;" – "&amp;TEXT(NGAY_BAT_DAU+195,"dd/mm/yyyy")&amp;"  —  Hồ sơ mạng xã hội · Bật affiliate · Xác thực SĐT  │  🎯 Mục tiêu: Hồ sơ mạng xã hội ở trạng thái rõ ràng; affiliate chạy hợp pháp; chính sách xác thực công bố.  │  💡 Cuối tuần "&amp;"biết được: Hồ sơ mạng xã hội đang ở đâu; lượt bấm affiliate mỗi ngày."</f>
        <v>📅 TUẦN 28  ·  22/03/2027 – 28/03/2027  —  Hồ sơ mạng xã hội · Bật affiliate · Xác thực SĐT  │  🎯 Mục tiêu: Hồ sơ mạng xã hội ở trạng thái rõ ràng; affiliate chạy hợp pháp; chính sách xác thực công bố.  │  💡 Cuối tuần biết được: Hồ sơ mạng xã hội đang ở đâu; lượt bấm affiliate mỗi ngày.</v>
      </c>
      <c r="B22" s="33"/>
      <c r="C22" s="33"/>
      <c r="D22" s="33"/>
      <c r="E22" s="33"/>
      <c r="F22" s="33"/>
      <c r="G22" s="33"/>
      <c r="H22" s="33"/>
      <c r="I22" s="33"/>
      <c r="J22" s="33"/>
      <c r="K22" s="33"/>
    </row>
    <row r="23" spans="1:11" ht="81.650000000000006" customHeight="1" x14ac:dyDescent="0.35">
      <c r="A23" s="19">
        <v>15</v>
      </c>
      <c r="B23" s="46" t="s">
        <v>138</v>
      </c>
      <c r="C23" s="6" t="s">
        <v>685</v>
      </c>
      <c r="D23" s="7" t="s">
        <v>686</v>
      </c>
      <c r="E23" s="7"/>
      <c r="F23" s="9" t="s">
        <v>290</v>
      </c>
      <c r="G23" s="10">
        <f>NGAY_BAT_DAU+189</f>
        <v>46468</v>
      </c>
      <c r="H23" s="10">
        <f>NGAY_BAT_DAU+195</f>
        <v>46474</v>
      </c>
      <c r="I23" s="23" t="s">
        <v>276</v>
      </c>
      <c r="J23" s="7" t="s">
        <v>687</v>
      </c>
      <c r="K23" s="12"/>
    </row>
    <row r="24" spans="1:11" ht="43.75" customHeight="1" x14ac:dyDescent="0.35">
      <c r="A24" s="19">
        <v>16</v>
      </c>
      <c r="B24" s="39"/>
      <c r="C24" s="13" t="s">
        <v>688</v>
      </c>
      <c r="D24" s="14" t="s">
        <v>689</v>
      </c>
      <c r="E24" s="14"/>
      <c r="F24" s="16" t="s">
        <v>126</v>
      </c>
      <c r="G24" s="10">
        <f>NGAY_BAT_DAU+189</f>
        <v>46468</v>
      </c>
      <c r="H24" s="10">
        <f>NGAY_BAT_DAU+195</f>
        <v>46474</v>
      </c>
      <c r="I24" s="23" t="s">
        <v>276</v>
      </c>
      <c r="J24" s="14" t="s">
        <v>690</v>
      </c>
      <c r="K24" s="17"/>
    </row>
    <row r="25" spans="1:11" ht="56.4" customHeight="1" x14ac:dyDescent="0.35">
      <c r="A25" s="19">
        <v>17</v>
      </c>
      <c r="B25" s="39"/>
      <c r="C25" s="6" t="s">
        <v>691</v>
      </c>
      <c r="D25" s="7" t="s">
        <v>692</v>
      </c>
      <c r="E25" s="7"/>
      <c r="F25" s="9" t="s">
        <v>323</v>
      </c>
      <c r="G25" s="10">
        <f>NGAY_BAT_DAU+189</f>
        <v>46468</v>
      </c>
      <c r="H25" s="10">
        <f>NGAY_BAT_DAU+195</f>
        <v>46474</v>
      </c>
      <c r="I25" s="23" t="s">
        <v>276</v>
      </c>
      <c r="J25" s="7" t="s">
        <v>693</v>
      </c>
      <c r="K25" s="12"/>
    </row>
    <row r="26" spans="1:11" ht="31.25" customHeight="1" x14ac:dyDescent="0.35">
      <c r="A26" s="19">
        <v>18</v>
      </c>
      <c r="B26" s="40"/>
      <c r="C26" s="13" t="s">
        <v>694</v>
      </c>
      <c r="D26" s="14" t="s">
        <v>695</v>
      </c>
      <c r="E26" s="14"/>
      <c r="F26" s="16" t="s">
        <v>554</v>
      </c>
      <c r="G26" s="10">
        <f>NGAY_BAT_DAU+189</f>
        <v>46468</v>
      </c>
      <c r="H26" s="10">
        <f>NGAY_BAT_DAU+195</f>
        <v>46474</v>
      </c>
      <c r="I26" s="23" t="s">
        <v>276</v>
      </c>
      <c r="J26" s="14"/>
      <c r="K26" s="17"/>
    </row>
    <row r="27" spans="1:11" ht="30" customHeight="1" x14ac:dyDescent="0.35">
      <c r="A27" s="32" t="str">
        <f>"📅 TUẦN 29  ·  "&amp;TEXT(NGAY_BAT_DAU+196,"dd/mm/yyyy")&amp;" – "&amp;TEXT(NGAY_BAT_DAU+202,"dd/mm/yyyy")&amp;"  —  Đo K · Doanh thu đầu tiên · Quyết định in lô 1  │  🎯 Mục tiêu: Dòng tiền có số thật; quyết định in hay hoãn; tỉnh 2 khởi động.  │  💡 Cuối tuần biết được: Doanh thu đầu tiên đế"&amp;"n từ đâu; in hay hoãn."</f>
        <v>📅 TUẦN 29  ·  29/03/2027 – 04/04/2027  —  Đo K · Doanh thu đầu tiên · Quyết định in lô 1  │  🎯 Mục tiêu: Dòng tiền có số thật; quyết định in hay hoãn; tỉnh 2 khởi động.  │  💡 Cuối tuần biết được: Doanh thu đầu tiên đến từ đâu; in hay hoãn.</v>
      </c>
      <c r="B27" s="33"/>
      <c r="C27" s="33"/>
      <c r="D27" s="33"/>
      <c r="E27" s="33"/>
      <c r="F27" s="33"/>
      <c r="G27" s="33"/>
      <c r="H27" s="33"/>
      <c r="I27" s="33"/>
      <c r="J27" s="33"/>
      <c r="K27" s="33"/>
    </row>
    <row r="28" spans="1:11" ht="56.4" customHeight="1" x14ac:dyDescent="0.35">
      <c r="A28" s="19">
        <v>19</v>
      </c>
      <c r="B28" s="46" t="s">
        <v>138</v>
      </c>
      <c r="C28" s="6" t="s">
        <v>696</v>
      </c>
      <c r="D28" s="7" t="s">
        <v>697</v>
      </c>
      <c r="E28" s="7"/>
      <c r="F28" s="9" t="s">
        <v>290</v>
      </c>
      <c r="G28" s="10">
        <f>NGAY_BAT_DAU+196</f>
        <v>46475</v>
      </c>
      <c r="H28" s="10">
        <f>NGAY_BAT_DAU+202</f>
        <v>46481</v>
      </c>
      <c r="I28" s="23" t="s">
        <v>276</v>
      </c>
      <c r="J28" s="7" t="s">
        <v>698</v>
      </c>
      <c r="K28" s="12"/>
    </row>
    <row r="29" spans="1:11" ht="56.4" customHeight="1" x14ac:dyDescent="0.35">
      <c r="A29" s="19">
        <v>20</v>
      </c>
      <c r="B29" s="39"/>
      <c r="C29" s="13" t="s">
        <v>699</v>
      </c>
      <c r="D29" s="14" t="s">
        <v>700</v>
      </c>
      <c r="E29" s="14"/>
      <c r="F29" s="16" t="s">
        <v>275</v>
      </c>
      <c r="G29" s="10">
        <f>NGAY_BAT_DAU+196</f>
        <v>46475</v>
      </c>
      <c r="H29" s="10">
        <f>NGAY_BAT_DAU+202</f>
        <v>46481</v>
      </c>
      <c r="I29" s="23" t="s">
        <v>276</v>
      </c>
      <c r="J29" s="14" t="s">
        <v>701</v>
      </c>
      <c r="K29" s="17"/>
    </row>
    <row r="30" spans="1:11" ht="43.75" customHeight="1" x14ac:dyDescent="0.35">
      <c r="A30" s="19">
        <v>21</v>
      </c>
      <c r="B30" s="39"/>
      <c r="C30" s="6" t="s">
        <v>702</v>
      </c>
      <c r="D30" s="7" t="s">
        <v>703</v>
      </c>
      <c r="E30" s="7"/>
      <c r="F30" s="9" t="s">
        <v>323</v>
      </c>
      <c r="G30" s="10">
        <f>NGAY_BAT_DAU+196</f>
        <v>46475</v>
      </c>
      <c r="H30" s="10">
        <f>NGAY_BAT_DAU+202</f>
        <v>46481</v>
      </c>
      <c r="I30" s="23" t="s">
        <v>276</v>
      </c>
      <c r="J30" s="7" t="s">
        <v>704</v>
      </c>
      <c r="K30" s="12"/>
    </row>
    <row r="31" spans="1:11" ht="28" customHeight="1" x14ac:dyDescent="0.35">
      <c r="A31" s="19">
        <v>22</v>
      </c>
      <c r="B31" s="40"/>
      <c r="C31" s="13" t="s">
        <v>705</v>
      </c>
      <c r="D31" s="14" t="s">
        <v>706</v>
      </c>
      <c r="E31" s="14"/>
      <c r="F31" s="16" t="s">
        <v>286</v>
      </c>
      <c r="G31" s="10">
        <f>NGAY_BAT_DAU+196</f>
        <v>46475</v>
      </c>
      <c r="H31" s="10">
        <f>NGAY_BAT_DAU+202</f>
        <v>46481</v>
      </c>
      <c r="I31" s="23" t="s">
        <v>276</v>
      </c>
      <c r="J31" s="14"/>
      <c r="K31" s="17"/>
    </row>
    <row r="32" spans="1:11" ht="30" customHeight="1" x14ac:dyDescent="0.35">
      <c r="A32" s="32" t="str">
        <f>"📅 TUẦN 30  ·  "&amp;TEXT(NGAY_BAT_DAU+203,"dd/mm/yyyy")&amp;" – "&amp;TEXT(NGAY_BAT_DAU+209,"dd/mm/yyyy")&amp;"  —  Kết chu kỳ 4 · Đặt in lô 1  │  🎯 Mục tiêu: Kết 3 cược C4; lô 1 vào xưởng; thử ưu đãi mời bạn.  │  💡 Cuối tuần biết được: Kết quả C4; lô 1 đang in."</f>
        <v>📅 TUẦN 30  ·  05/04/2027 – 11/04/2027  —  Kết chu kỳ 4 · Đặt in lô 1  │  🎯 Mục tiêu: Kết 3 cược C4; lô 1 vào xưởng; thử ưu đãi mời bạn.  │  💡 Cuối tuần biết được: Kết quả C4; lô 1 đang in.</v>
      </c>
      <c r="B32" s="33"/>
      <c r="C32" s="33"/>
      <c r="D32" s="33"/>
      <c r="E32" s="33"/>
      <c r="F32" s="33"/>
      <c r="G32" s="33"/>
      <c r="H32" s="33"/>
      <c r="I32" s="33"/>
      <c r="J32" s="33"/>
      <c r="K32" s="33"/>
    </row>
    <row r="33" spans="1:11" ht="31.25" customHeight="1" x14ac:dyDescent="0.35">
      <c r="A33" s="19">
        <v>23</v>
      </c>
      <c r="B33" s="46" t="s">
        <v>138</v>
      </c>
      <c r="C33" s="6" t="s">
        <v>707</v>
      </c>
      <c r="D33" s="7" t="s">
        <v>708</v>
      </c>
      <c r="E33" s="7"/>
      <c r="F33" s="9" t="s">
        <v>709</v>
      </c>
      <c r="G33" s="10">
        <f>NGAY_BAT_DAU+203</f>
        <v>46482</v>
      </c>
      <c r="H33" s="10">
        <f>NGAY_BAT_DAU+209</f>
        <v>46488</v>
      </c>
      <c r="I33" s="23" t="s">
        <v>276</v>
      </c>
      <c r="J33" s="7" t="s">
        <v>710</v>
      </c>
      <c r="K33" s="12"/>
    </row>
    <row r="34" spans="1:11" ht="31.25" customHeight="1" x14ac:dyDescent="0.35">
      <c r="A34" s="19">
        <v>24</v>
      </c>
      <c r="B34" s="39"/>
      <c r="C34" s="13" t="s">
        <v>711</v>
      </c>
      <c r="D34" s="14" t="s">
        <v>712</v>
      </c>
      <c r="E34" s="14"/>
      <c r="F34" s="16" t="s">
        <v>286</v>
      </c>
      <c r="G34" s="10">
        <f>NGAY_BAT_DAU+203</f>
        <v>46482</v>
      </c>
      <c r="H34" s="10">
        <f>NGAY_BAT_DAU+209</f>
        <v>46488</v>
      </c>
      <c r="I34" s="23" t="s">
        <v>276</v>
      </c>
      <c r="J34" s="14" t="s">
        <v>713</v>
      </c>
      <c r="K34" s="17"/>
    </row>
    <row r="35" spans="1:11" ht="43.75" customHeight="1" x14ac:dyDescent="0.35">
      <c r="A35" s="19">
        <v>25</v>
      </c>
      <c r="B35" s="39"/>
      <c r="C35" s="6" t="s">
        <v>714</v>
      </c>
      <c r="D35" s="7" t="s">
        <v>715</v>
      </c>
      <c r="E35" s="7"/>
      <c r="F35" s="9" t="s">
        <v>197</v>
      </c>
      <c r="G35" s="10">
        <f>NGAY_BAT_DAU+203</f>
        <v>46482</v>
      </c>
      <c r="H35" s="10">
        <f>NGAY_BAT_DAU+209</f>
        <v>46488</v>
      </c>
      <c r="I35" s="23" t="s">
        <v>276</v>
      </c>
      <c r="J35" s="7" t="s">
        <v>716</v>
      </c>
      <c r="K35" s="12"/>
    </row>
    <row r="36" spans="1:11" ht="28" customHeight="1" x14ac:dyDescent="0.35">
      <c r="A36" s="19">
        <v>26</v>
      </c>
      <c r="B36" s="40"/>
      <c r="C36" s="13" t="s">
        <v>717</v>
      </c>
      <c r="D36" s="14"/>
      <c r="E36" s="14"/>
      <c r="F36" s="16" t="s">
        <v>300</v>
      </c>
      <c r="G36" s="10">
        <f>NGAY_BAT_DAU+203</f>
        <v>46482</v>
      </c>
      <c r="H36" s="10">
        <f>NGAY_BAT_DAU+209</f>
        <v>46488</v>
      </c>
      <c r="I36" s="23" t="s">
        <v>276</v>
      </c>
      <c r="J36" s="14"/>
      <c r="K36" s="17"/>
    </row>
    <row r="37" spans="1:11" ht="30" customHeight="1" x14ac:dyDescent="0.35">
      <c r="A37" s="32" t="str">
        <f>"📅 TUẦN 31  ·  "&amp;TEXT(NGAY_BAT_DAU+210,"dd/mm/yyyy")&amp;" – "&amp;TEXT(NGAY_BAT_DAU+216,"dd/mm/yyyy")&amp;"  —  NGUỘI · Kết luận people connection · Business.md 0.5  │  🎯 Mục tiêu: Chốt hướng ghép nhóm đi chung; tài liệu cập nhật; rủi ro quý có tiền thật.  │  💡 Cuối tuần biết được: Hướn"&amp;"g people connection; rủi ro mới của quý có tiền thật."</f>
        <v>📅 TUẦN 31  ·  12/04/2027 – 18/04/2027  —  NGUỘI · Kết luận people connection · Business.md 0.5  │  🎯 Mục tiêu: Chốt hướng ghép nhóm đi chung; tài liệu cập nhật; rủi ro quý có tiền thật.  │  💡 Cuối tuần biết được: Hướng people connection; rủi ro mới của quý có tiền thật.</v>
      </c>
      <c r="B37" s="33"/>
      <c r="C37" s="33"/>
      <c r="D37" s="33"/>
      <c r="E37" s="33"/>
      <c r="F37" s="33"/>
      <c r="G37" s="33"/>
      <c r="H37" s="33"/>
      <c r="I37" s="33"/>
      <c r="J37" s="33"/>
      <c r="K37" s="33"/>
    </row>
    <row r="38" spans="1:11" ht="81.650000000000006" customHeight="1" x14ac:dyDescent="0.35">
      <c r="A38" s="19">
        <v>27</v>
      </c>
      <c r="B38" s="46" t="s">
        <v>138</v>
      </c>
      <c r="C38" s="6" t="s">
        <v>718</v>
      </c>
      <c r="D38" s="7" t="s">
        <v>719</v>
      </c>
      <c r="E38" s="7"/>
      <c r="F38" s="9" t="s">
        <v>720</v>
      </c>
      <c r="G38" s="10">
        <f>NGAY_BAT_DAU+210</f>
        <v>46489</v>
      </c>
      <c r="H38" s="10">
        <f>NGAY_BAT_DAU+216</f>
        <v>46495</v>
      </c>
      <c r="I38" s="23" t="s">
        <v>276</v>
      </c>
      <c r="J38" s="7" t="s">
        <v>721</v>
      </c>
      <c r="K38" s="12"/>
    </row>
    <row r="39" spans="1:11" ht="31.25" customHeight="1" x14ac:dyDescent="0.35">
      <c r="A39" s="19">
        <v>28</v>
      </c>
      <c r="B39" s="39"/>
      <c r="C39" s="13" t="s">
        <v>722</v>
      </c>
      <c r="D39" s="14" t="s">
        <v>723</v>
      </c>
      <c r="E39" s="14"/>
      <c r="F39" s="16" t="s">
        <v>275</v>
      </c>
      <c r="G39" s="10">
        <f>NGAY_BAT_DAU+210</f>
        <v>46489</v>
      </c>
      <c r="H39" s="10">
        <f>NGAY_BAT_DAU+216</f>
        <v>46495</v>
      </c>
      <c r="I39" s="23" t="s">
        <v>276</v>
      </c>
      <c r="J39" s="14" t="s">
        <v>724</v>
      </c>
      <c r="K39" s="17"/>
    </row>
    <row r="40" spans="1:11" ht="31.25" customHeight="1" x14ac:dyDescent="0.35">
      <c r="A40" s="19">
        <v>29</v>
      </c>
      <c r="B40" s="39"/>
      <c r="C40" s="6" t="s">
        <v>725</v>
      </c>
      <c r="D40" s="7" t="s">
        <v>726</v>
      </c>
      <c r="E40" s="7"/>
      <c r="F40" s="9" t="s">
        <v>290</v>
      </c>
      <c r="G40" s="10">
        <f>NGAY_BAT_DAU+210</f>
        <v>46489</v>
      </c>
      <c r="H40" s="10">
        <f>NGAY_BAT_DAU+216</f>
        <v>46495</v>
      </c>
      <c r="I40" s="23" t="s">
        <v>276</v>
      </c>
      <c r="J40" s="7" t="s">
        <v>727</v>
      </c>
      <c r="K40" s="12"/>
    </row>
    <row r="41" spans="1:11" ht="28" customHeight="1" x14ac:dyDescent="0.35">
      <c r="A41" s="19">
        <v>30</v>
      </c>
      <c r="B41" s="40"/>
      <c r="C41" s="13" t="s">
        <v>728</v>
      </c>
      <c r="D41" s="14" t="s">
        <v>729</v>
      </c>
      <c r="E41" s="14"/>
      <c r="F41" s="16" t="s">
        <v>197</v>
      </c>
      <c r="G41" s="10">
        <f>NGAY_BAT_DAU+210</f>
        <v>46489</v>
      </c>
      <c r="H41" s="10">
        <f>NGAY_BAT_DAU+216</f>
        <v>46495</v>
      </c>
      <c r="I41" s="23" t="s">
        <v>276</v>
      </c>
      <c r="J41" s="14"/>
      <c r="K41" s="17"/>
    </row>
    <row r="42" spans="1:11" ht="30" customHeight="1" x14ac:dyDescent="0.35">
      <c r="A42" s="32" t="str">
        <f>"📅 TUẦN 32  ·  "&amp;TEXT(NGAY_BAT_DAU+217,"dd/mm/yyyy")&amp;" – "&amp;TEXT(NGAY_BAT_DAU+223,"dd/mm/yyyy")&amp;"  —  NGUỘI · Bàn cược C5 · Chuẩn bị giao hàng  │  🎯 Mục tiêu: Ba đến bốn cược C5; kế hoạch trường 2; danh sách đơn xác nhận.  │  💡 Cuối tuần biết được: Cược C5; số đơn xác nhận thậ"&amp;"t."</f>
        <v>📅 TUẦN 32  ·  19/04/2027 – 25/04/2027  —  NGUỘI · Bàn cược C5 · Chuẩn bị giao hàng  │  🎯 Mục tiêu: Ba đến bốn cược C5; kế hoạch trường 2; danh sách đơn xác nhận.  │  💡 Cuối tuần biết được: Cược C5; số đơn xác nhận thật.</v>
      </c>
      <c r="B42" s="33"/>
      <c r="C42" s="33"/>
      <c r="D42" s="33"/>
      <c r="E42" s="33"/>
      <c r="F42" s="33"/>
      <c r="G42" s="33"/>
      <c r="H42" s="33"/>
      <c r="I42" s="33"/>
      <c r="J42" s="33"/>
      <c r="K42" s="33"/>
    </row>
    <row r="43" spans="1:11" ht="69" customHeight="1" x14ac:dyDescent="0.35">
      <c r="A43" s="19">
        <v>31</v>
      </c>
      <c r="B43" s="46" t="s">
        <v>138</v>
      </c>
      <c r="C43" s="6" t="s">
        <v>730</v>
      </c>
      <c r="D43" s="7" t="s">
        <v>731</v>
      </c>
      <c r="E43" s="7"/>
      <c r="F43" s="9" t="s">
        <v>197</v>
      </c>
      <c r="G43" s="10">
        <f>NGAY_BAT_DAU+217</f>
        <v>46496</v>
      </c>
      <c r="H43" s="10">
        <f>NGAY_BAT_DAU+223</f>
        <v>46502</v>
      </c>
      <c r="I43" s="23" t="s">
        <v>276</v>
      </c>
      <c r="J43" s="7" t="s">
        <v>732</v>
      </c>
      <c r="K43" s="12"/>
    </row>
    <row r="44" spans="1:11" ht="31.25" customHeight="1" x14ac:dyDescent="0.35">
      <c r="A44" s="19">
        <v>32</v>
      </c>
      <c r="B44" s="39"/>
      <c r="C44" s="13" t="s">
        <v>733</v>
      </c>
      <c r="D44" s="14" t="s">
        <v>734</v>
      </c>
      <c r="E44" s="14"/>
      <c r="F44" s="16" t="s">
        <v>286</v>
      </c>
      <c r="G44" s="10">
        <f>NGAY_BAT_DAU+217</f>
        <v>46496</v>
      </c>
      <c r="H44" s="10">
        <f>NGAY_BAT_DAU+223</f>
        <v>46502</v>
      </c>
      <c r="I44" s="23" t="s">
        <v>276</v>
      </c>
      <c r="J44" s="14" t="s">
        <v>735</v>
      </c>
      <c r="K44" s="17"/>
    </row>
    <row r="45" spans="1:11" ht="43.75" customHeight="1" x14ac:dyDescent="0.35">
      <c r="A45" s="19">
        <v>33</v>
      </c>
      <c r="B45" s="40"/>
      <c r="C45" s="6" t="s">
        <v>736</v>
      </c>
      <c r="D45" s="7" t="s">
        <v>737</v>
      </c>
      <c r="E45" s="7"/>
      <c r="F45" s="9" t="s">
        <v>323</v>
      </c>
      <c r="G45" s="10">
        <f>NGAY_BAT_DAU+217</f>
        <v>46496</v>
      </c>
      <c r="H45" s="10">
        <f>NGAY_BAT_DAU+223</f>
        <v>46502</v>
      </c>
      <c r="I45" s="23" t="s">
        <v>276</v>
      </c>
      <c r="J45" s="7" t="s">
        <v>738</v>
      </c>
      <c r="K45" s="12"/>
    </row>
  </sheetData>
  <mergeCells count="18">
    <mergeCell ref="B43:B45"/>
    <mergeCell ref="B11:B15"/>
    <mergeCell ref="B28:B31"/>
    <mergeCell ref="A42:K42"/>
    <mergeCell ref="A5:K5"/>
    <mergeCell ref="A32:K32"/>
    <mergeCell ref="B33:B36"/>
    <mergeCell ref="B38:B41"/>
    <mergeCell ref="A22:K22"/>
    <mergeCell ref="B23:B26"/>
    <mergeCell ref="B17:B21"/>
    <mergeCell ref="A1:K1"/>
    <mergeCell ref="A37:K37"/>
    <mergeCell ref="A27:K27"/>
    <mergeCell ref="A2:K2"/>
    <mergeCell ref="A16:K16"/>
    <mergeCell ref="B6:B9"/>
    <mergeCell ref="A10:K10"/>
  </mergeCells>
  <conditionalFormatting sqref="I5:I45">
    <cfRule type="cellIs" dxfId="15" priority="1" operator="equal">
      <formula>"Xong"</formula>
    </cfRule>
    <cfRule type="cellIs" dxfId="14" priority="2" operator="equal">
      <formula>"Đang làm"</formula>
    </cfRule>
    <cfRule type="cellIs" dxfId="13" priority="3" operator="equal">
      <formula>"Cắt"</formula>
    </cfRule>
    <cfRule type="cellIs" dxfId="12" priority="4" operator="equal">
      <formula>"Tạm hoãn"</formula>
    </cfRule>
  </conditionalFormatting>
  <dataValidations count="1">
    <dataValidation type="list" allowBlank="1" sqref="I5:I45" xr:uid="{00000000-0002-0000-0400-000000000000}">
      <formula1>"Chưa bắt đầu,Đang làm,Xong,Cắt,Tạm hoãn"</formula1>
    </dataValidation>
  </dataValidations>
  <pageMargins left="0.75" right="0.75" top="1" bottom="1" header="0.5" footer="0.5"/>
  <pageSetup paperSize="8"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D7D31"/>
    <pageSetUpPr fitToPage="1"/>
  </sheetPr>
  <dimension ref="A1:K38"/>
  <sheetViews>
    <sheetView showGridLines="0" zoomScale="85" workbookViewId="0">
      <pane ySplit="4" topLeftCell="A5" activePane="bottomLeft" state="frozen"/>
      <selection pane="bottomLeft"/>
    </sheetView>
  </sheetViews>
  <sheetFormatPr defaultRowHeight="14.5" x14ac:dyDescent="0.35"/>
  <cols>
    <col min="1" max="1" width="6" customWidth="1"/>
    <col min="2" max="2" width="21" customWidth="1"/>
    <col min="3" max="3" width="34" customWidth="1"/>
    <col min="4" max="4" width="50" customWidth="1"/>
    <col min="5" max="5" width="34" customWidth="1"/>
    <col min="6" max="6" width="11" customWidth="1"/>
    <col min="7" max="8" width="14" customWidth="1"/>
    <col min="9" max="9" width="15" customWidth="1"/>
    <col min="10" max="10" width="40" customWidth="1"/>
    <col min="11" max="11" width="24" customWidth="1"/>
  </cols>
  <sheetData>
    <row r="1" spans="1:11" ht="32" customHeight="1" x14ac:dyDescent="0.35">
      <c r="A1" s="36" t="s">
        <v>739</v>
      </c>
      <c r="B1" s="37"/>
      <c r="C1" s="37"/>
      <c r="D1" s="37"/>
      <c r="E1" s="37"/>
      <c r="F1" s="37"/>
      <c r="G1" s="37"/>
      <c r="H1" s="37"/>
      <c r="I1" s="37"/>
      <c r="J1" s="37"/>
      <c r="K1" s="37"/>
    </row>
    <row r="2" spans="1:11" ht="19" customHeight="1" x14ac:dyDescent="0.35">
      <c r="A2" s="44" t="str">
        <f>"Tuần 33 – 40   │   "&amp;TEXT(NGAY_BAT_DAU+224,"dd/mm/yyyy")&amp;"  →  "&amp;TEXT(NGAY_BAT_DAU+279,"dd/mm/yyyy")&amp;"   │   6 tuần làm (T33–T38) + 2 tuần nguội (T39–T40, trùng kỳ thi)   │   QUÝ 3 — GIAI ĐOẠN 3: LAN TRUYỀN &amp; CHUẨN BỊ DOANH THU"</f>
        <v>Tuần 33 – 40   │   26/04/2027  →  20/06/2027   │   6 tuần làm (T33–T38) + 2 tuần nguội (T39–T40, trùng kỳ thi)   │   QUÝ 3 — GIAI ĐOẠN 3: LAN TRUYỀN &amp; CHUẨN BỊ DOANH THU</v>
      </c>
      <c r="B2" s="31"/>
      <c r="C2" s="31"/>
      <c r="D2" s="31"/>
      <c r="E2" s="31"/>
      <c r="F2" s="31"/>
      <c r="G2" s="31"/>
      <c r="H2" s="31"/>
      <c r="I2" s="31"/>
      <c r="J2" s="31"/>
      <c r="K2" s="31"/>
    </row>
    <row r="3" spans="1:11" ht="7" customHeight="1" x14ac:dyDescent="0.35"/>
    <row r="4" spans="1:11" ht="40" customHeight="1" x14ac:dyDescent="0.35">
      <c r="A4" s="4" t="s">
        <v>7</v>
      </c>
      <c r="B4" s="4" t="s">
        <v>8</v>
      </c>
      <c r="C4" s="4" t="s">
        <v>9</v>
      </c>
      <c r="D4" s="4" t="s">
        <v>10</v>
      </c>
      <c r="E4" s="4" t="s">
        <v>11</v>
      </c>
      <c r="F4" s="4" t="s">
        <v>12</v>
      </c>
      <c r="G4" s="4" t="s">
        <v>13</v>
      </c>
      <c r="H4" s="4" t="s">
        <v>14</v>
      </c>
      <c r="I4" s="4" t="s">
        <v>15</v>
      </c>
      <c r="J4" s="4" t="s">
        <v>16</v>
      </c>
      <c r="K4" s="4" t="s">
        <v>17</v>
      </c>
    </row>
    <row r="5" spans="1:11" ht="30" customHeight="1" x14ac:dyDescent="0.35">
      <c r="A5" s="32" t="str">
        <f>"📅 TUẦN 33  ·  "&amp;TEXT(NGAY_BAT_DAU+224,"dd/mm/yyyy")&amp;" – "&amp;TEXT(NGAY_BAT_DAU+230,"dd/mm/yyyy")&amp;"  —  Giao lô 1 · Kê khai thuế quý đầu · Rà Luật TMĐT  │  🎯 Mục tiêu: Hàng đến tay khách; nghĩa vụ thuế kỳ đầu hoàn thành; biết nghĩa vụ TMĐT.  │  💡 Cuối tuần biết được: Hài lòng ng"&amp;"ười mua; chi phí kế toán + thuế chiếm bao nhiêu % doanh thu."</f>
        <v>📅 TUẦN 33  ·  26/04/2027 – 02/05/2027  —  Giao lô 1 · Kê khai thuế quý đầu · Rà Luật TMĐT  │  🎯 Mục tiêu: Hàng đến tay khách; nghĩa vụ thuế kỳ đầu hoàn thành; biết nghĩa vụ TMĐT.  │  💡 Cuối tuần biết được: Hài lòng người mua; chi phí kế toán + thuế chiếm bao nhiêu % doanh thu.</v>
      </c>
      <c r="B5" s="33"/>
      <c r="C5" s="33"/>
      <c r="D5" s="33"/>
      <c r="E5" s="33"/>
      <c r="F5" s="33"/>
      <c r="G5" s="33"/>
      <c r="H5" s="33"/>
      <c r="I5" s="33"/>
      <c r="J5" s="33"/>
      <c r="K5" s="33"/>
    </row>
    <row r="6" spans="1:11" ht="43.75" customHeight="1" x14ac:dyDescent="0.35">
      <c r="A6" s="19">
        <v>1</v>
      </c>
      <c r="B6" s="46" t="s">
        <v>138</v>
      </c>
      <c r="C6" s="6" t="s">
        <v>740</v>
      </c>
      <c r="D6" s="7" t="s">
        <v>741</v>
      </c>
      <c r="E6" s="7"/>
      <c r="F6" s="9" t="s">
        <v>323</v>
      </c>
      <c r="G6" s="10">
        <f>NGAY_BAT_DAU+224</f>
        <v>46503</v>
      </c>
      <c r="H6" s="10">
        <f>NGAY_BAT_DAU+230</f>
        <v>46509</v>
      </c>
      <c r="I6" s="23" t="s">
        <v>276</v>
      </c>
      <c r="J6" s="7" t="s">
        <v>742</v>
      </c>
      <c r="K6" s="12"/>
    </row>
    <row r="7" spans="1:11" ht="43.75" customHeight="1" x14ac:dyDescent="0.35">
      <c r="A7" s="19">
        <v>2</v>
      </c>
      <c r="B7" s="39"/>
      <c r="C7" s="13" t="s">
        <v>743</v>
      </c>
      <c r="D7" s="14" t="s">
        <v>744</v>
      </c>
      <c r="E7" s="14"/>
      <c r="F7" s="16" t="s">
        <v>290</v>
      </c>
      <c r="G7" s="10">
        <f>NGAY_BAT_DAU+224</f>
        <v>46503</v>
      </c>
      <c r="H7" s="10">
        <f>NGAY_BAT_DAU+230</f>
        <v>46509</v>
      </c>
      <c r="I7" s="23" t="s">
        <v>276</v>
      </c>
      <c r="J7" s="14" t="s">
        <v>745</v>
      </c>
      <c r="K7" s="17"/>
    </row>
    <row r="8" spans="1:11" ht="69" customHeight="1" x14ac:dyDescent="0.35">
      <c r="A8" s="19">
        <v>3</v>
      </c>
      <c r="B8" s="39"/>
      <c r="C8" s="6" t="s">
        <v>746</v>
      </c>
      <c r="D8" s="7" t="s">
        <v>747</v>
      </c>
      <c r="E8" s="7"/>
      <c r="F8" s="9" t="s">
        <v>290</v>
      </c>
      <c r="G8" s="10">
        <f>NGAY_BAT_DAU+224</f>
        <v>46503</v>
      </c>
      <c r="H8" s="10">
        <f>NGAY_BAT_DAU+230</f>
        <v>46509</v>
      </c>
      <c r="I8" s="23" t="s">
        <v>276</v>
      </c>
      <c r="J8" s="7" t="s">
        <v>748</v>
      </c>
      <c r="K8" s="12"/>
    </row>
    <row r="9" spans="1:11" ht="31.25" customHeight="1" x14ac:dyDescent="0.35">
      <c r="A9" s="19">
        <v>4</v>
      </c>
      <c r="B9" s="40"/>
      <c r="C9" s="13" t="s">
        <v>749</v>
      </c>
      <c r="D9" s="14" t="s">
        <v>750</v>
      </c>
      <c r="E9" s="14"/>
      <c r="F9" s="16" t="s">
        <v>286</v>
      </c>
      <c r="G9" s="10">
        <f>NGAY_BAT_DAU+224</f>
        <v>46503</v>
      </c>
      <c r="H9" s="10">
        <f>NGAY_BAT_DAU+230</f>
        <v>46509</v>
      </c>
      <c r="I9" s="23" t="s">
        <v>276</v>
      </c>
      <c r="J9" s="14" t="s">
        <v>751</v>
      </c>
      <c r="K9" s="17"/>
    </row>
    <row r="10" spans="1:11" ht="30" customHeight="1" x14ac:dyDescent="0.35">
      <c r="A10" s="32" t="str">
        <f>"📅 TUẦN 34  ·  "&amp;TEXT(NGAY_BAT_DAU+231,"dd/mm/yyyy")&amp;" – "&amp;TEXT(NGAY_BAT_DAU+237,"dd/mm/yyyy")&amp;"  —  Mạng nguyên tử thứ 2  │  🎯 Mục tiêu: Chứng minh cách khởi động lặp lại được ở trường/tỉnh thứ hai.  │  💡 Cuối tuần biết được: Mạng 2 khởi động nhanh hay chậm hơn mạng 1, và vì"&amp;" sao (đại sứ, mùa, nội dung)."</f>
        <v>📅 TUẦN 34  ·  03/05/2027 – 09/05/2027  —  Mạng nguyên tử thứ 2  │  🎯 Mục tiêu: Chứng minh cách khởi động lặp lại được ở trường/tỉnh thứ hai.  │  💡 Cuối tuần biết được: Mạng 2 khởi động nhanh hay chậm hơn mạng 1, và vì sao (đại sứ, mùa, nội dung).</v>
      </c>
      <c r="B10" s="33"/>
      <c r="C10" s="33"/>
      <c r="D10" s="33"/>
      <c r="E10" s="33"/>
      <c r="F10" s="33"/>
      <c r="G10" s="33"/>
      <c r="H10" s="33"/>
      <c r="I10" s="33"/>
      <c r="J10" s="33"/>
      <c r="K10" s="33"/>
    </row>
    <row r="11" spans="1:11" ht="43.75" customHeight="1" x14ac:dyDescent="0.35">
      <c r="A11" s="19">
        <v>5</v>
      </c>
      <c r="B11" s="46" t="s">
        <v>138</v>
      </c>
      <c r="C11" s="6" t="s">
        <v>752</v>
      </c>
      <c r="D11" s="7" t="s">
        <v>753</v>
      </c>
      <c r="E11" s="7"/>
      <c r="F11" s="9" t="s">
        <v>286</v>
      </c>
      <c r="G11" s="10">
        <f>NGAY_BAT_DAU+231</f>
        <v>46510</v>
      </c>
      <c r="H11" s="10">
        <f>NGAY_BAT_DAU+237</f>
        <v>46516</v>
      </c>
      <c r="I11" s="23" t="s">
        <v>276</v>
      </c>
      <c r="J11" s="7" t="s">
        <v>754</v>
      </c>
      <c r="K11" s="12"/>
    </row>
    <row r="12" spans="1:11" ht="31.25" customHeight="1" x14ac:dyDescent="0.35">
      <c r="A12" s="19">
        <v>6</v>
      </c>
      <c r="B12" s="39"/>
      <c r="C12" s="13" t="s">
        <v>755</v>
      </c>
      <c r="D12" s="14" t="s">
        <v>756</v>
      </c>
      <c r="E12" s="14"/>
      <c r="F12" s="16" t="s">
        <v>323</v>
      </c>
      <c r="G12" s="10">
        <f>NGAY_BAT_DAU+231</f>
        <v>46510</v>
      </c>
      <c r="H12" s="10">
        <f>NGAY_BAT_DAU+237</f>
        <v>46516</v>
      </c>
      <c r="I12" s="23" t="s">
        <v>276</v>
      </c>
      <c r="J12" s="14" t="s">
        <v>757</v>
      </c>
      <c r="K12" s="17"/>
    </row>
    <row r="13" spans="1:11" ht="28" customHeight="1" x14ac:dyDescent="0.35">
      <c r="A13" s="19">
        <v>7</v>
      </c>
      <c r="B13" s="39"/>
      <c r="C13" s="6" t="s">
        <v>758</v>
      </c>
      <c r="D13" s="7"/>
      <c r="E13" s="7"/>
      <c r="F13" s="9" t="s">
        <v>517</v>
      </c>
      <c r="G13" s="10">
        <f>NGAY_BAT_DAU+231</f>
        <v>46510</v>
      </c>
      <c r="H13" s="10">
        <f>NGAY_BAT_DAU+237</f>
        <v>46516</v>
      </c>
      <c r="I13" s="23" t="s">
        <v>276</v>
      </c>
      <c r="J13" s="7" t="s">
        <v>759</v>
      </c>
      <c r="K13" s="12"/>
    </row>
    <row r="14" spans="1:11" ht="28" customHeight="1" x14ac:dyDescent="0.35">
      <c r="A14" s="19">
        <v>8</v>
      </c>
      <c r="B14" s="40"/>
      <c r="C14" s="13" t="s">
        <v>760</v>
      </c>
      <c r="D14" s="14" t="s">
        <v>761</v>
      </c>
      <c r="E14" s="14"/>
      <c r="F14" s="16" t="s">
        <v>290</v>
      </c>
      <c r="G14" s="10">
        <f>NGAY_BAT_DAU+231</f>
        <v>46510</v>
      </c>
      <c r="H14" s="10">
        <f>NGAY_BAT_DAU+237</f>
        <v>46516</v>
      </c>
      <c r="I14" s="23" t="s">
        <v>276</v>
      </c>
      <c r="J14" s="14" t="s">
        <v>762</v>
      </c>
      <c r="K14" s="17"/>
    </row>
    <row r="15" spans="1:11" ht="30" customHeight="1" x14ac:dyDescent="0.35">
      <c r="A15" s="32" t="str">
        <f>"📅 TUẦN 35  ·  "&amp;TEXT(NGAY_BAT_DAU+238,"dd/mm/yyyy")&amp;" – "&amp;TEXT(NGAY_BAT_DAU+244,"dd/mm/yyyy")&amp;"  —  Creator 10–20 · Kế hoạch hè · Hồ sơ cuộc thi  │  🎯 Mục tiêu: Mở rộng creator có hợp đồng; kế hoạch mùa cao điểm; biết lịch cuộc thi.  │  💡 Cuối tuần biết được: Creator đã ký; "&amp;"kế hoạch hè; lịch cuộc thi."</f>
        <v>📅 TUẦN 35  ·  10/05/2027 – 16/05/2027  —  Creator 10–20 · Kế hoạch hè · Hồ sơ cuộc thi  │  🎯 Mục tiêu: Mở rộng creator có hợp đồng; kế hoạch mùa cao điểm; biết lịch cuộc thi.  │  💡 Cuối tuần biết được: Creator đã ký; kế hoạch hè; lịch cuộc thi.</v>
      </c>
      <c r="B15" s="33"/>
      <c r="C15" s="33"/>
      <c r="D15" s="33"/>
      <c r="E15" s="33"/>
      <c r="F15" s="33"/>
      <c r="G15" s="33"/>
      <c r="H15" s="33"/>
      <c r="I15" s="33"/>
      <c r="J15" s="33"/>
      <c r="K15" s="33"/>
    </row>
    <row r="16" spans="1:11" ht="56.4" customHeight="1" x14ac:dyDescent="0.35">
      <c r="A16" s="19">
        <v>9</v>
      </c>
      <c r="B16" s="46" t="s">
        <v>138</v>
      </c>
      <c r="C16" s="6" t="s">
        <v>763</v>
      </c>
      <c r="D16" s="7" t="s">
        <v>764</v>
      </c>
      <c r="E16" s="7"/>
      <c r="F16" s="9" t="s">
        <v>286</v>
      </c>
      <c r="G16" s="10">
        <f>NGAY_BAT_DAU+238</f>
        <v>46517</v>
      </c>
      <c r="H16" s="10">
        <f>NGAY_BAT_DAU+244</f>
        <v>46523</v>
      </c>
      <c r="I16" s="23" t="s">
        <v>276</v>
      </c>
      <c r="J16" s="7" t="s">
        <v>765</v>
      </c>
      <c r="K16" s="12"/>
    </row>
    <row r="17" spans="1:11" ht="43.75" customHeight="1" x14ac:dyDescent="0.35">
      <c r="A17" s="19">
        <v>10</v>
      </c>
      <c r="B17" s="39"/>
      <c r="C17" s="13" t="s">
        <v>766</v>
      </c>
      <c r="D17" s="14" t="s">
        <v>767</v>
      </c>
      <c r="E17" s="14"/>
      <c r="F17" s="16" t="s">
        <v>768</v>
      </c>
      <c r="G17" s="10">
        <f>NGAY_BAT_DAU+238</f>
        <v>46517</v>
      </c>
      <c r="H17" s="10">
        <f>NGAY_BAT_DAU+244</f>
        <v>46523</v>
      </c>
      <c r="I17" s="23" t="s">
        <v>276</v>
      </c>
      <c r="J17" s="14" t="s">
        <v>769</v>
      </c>
      <c r="K17" s="17"/>
    </row>
    <row r="18" spans="1:11" ht="31.25" customHeight="1" x14ac:dyDescent="0.35">
      <c r="A18" s="19">
        <v>11</v>
      </c>
      <c r="B18" s="39"/>
      <c r="C18" s="6" t="s">
        <v>770</v>
      </c>
      <c r="D18" s="7" t="s">
        <v>771</v>
      </c>
      <c r="E18" s="7"/>
      <c r="F18" s="9" t="s">
        <v>290</v>
      </c>
      <c r="G18" s="10">
        <f>NGAY_BAT_DAU+238</f>
        <v>46517</v>
      </c>
      <c r="H18" s="10">
        <f>NGAY_BAT_DAU+244</f>
        <v>46523</v>
      </c>
      <c r="I18" s="23" t="s">
        <v>276</v>
      </c>
      <c r="J18" s="7" t="s">
        <v>772</v>
      </c>
      <c r="K18" s="12"/>
    </row>
    <row r="19" spans="1:11" ht="56.4" customHeight="1" x14ac:dyDescent="0.35">
      <c r="A19" s="19">
        <v>12</v>
      </c>
      <c r="B19" s="40"/>
      <c r="C19" s="13" t="s">
        <v>773</v>
      </c>
      <c r="D19" s="14" t="s">
        <v>774</v>
      </c>
      <c r="E19" s="14"/>
      <c r="F19" s="16" t="s">
        <v>635</v>
      </c>
      <c r="G19" s="10">
        <f>NGAY_BAT_DAU+238</f>
        <v>46517</v>
      </c>
      <c r="H19" s="10">
        <f>NGAY_BAT_DAU+244</f>
        <v>46523</v>
      </c>
      <c r="I19" s="23" t="s">
        <v>276</v>
      </c>
      <c r="J19" s="14" t="s">
        <v>775</v>
      </c>
      <c r="K19" s="17"/>
    </row>
    <row r="20" spans="1:11" ht="30" customHeight="1" x14ac:dyDescent="0.35">
      <c r="A20" s="32" t="str">
        <f>"📅 TUẦN 36  ·  "&amp;TEXT(NGAY_BAT_DAU+245,"dd/mm/yyyy")&amp;" – "&amp;TEXT(NGAY_BAT_DAU+251,"dd/mm/yyyy")&amp;"  —  CỔNG QUÝ 3  │  🎯 Mục tiêu: Kiểm tiêu chí 3→4; dồn lực Q4 vào một kênh và một dòng thu.  │  💡 Cuối tuần biết được: Kênh nào và dòng thu nào là trọng tâm Q4."</f>
        <v>📅 TUẦN 36  ·  17/05/2027 – 23/05/2027  —  CỔNG QUÝ 3  │  🎯 Mục tiêu: Kiểm tiêu chí 3→4; dồn lực Q4 vào một kênh và một dòng thu.  │  💡 Cuối tuần biết được: Kênh nào và dòng thu nào là trọng tâm Q4.</v>
      </c>
      <c r="B20" s="33"/>
      <c r="C20" s="33"/>
      <c r="D20" s="33"/>
      <c r="E20" s="33"/>
      <c r="F20" s="33"/>
      <c r="G20" s="33"/>
      <c r="H20" s="33"/>
      <c r="I20" s="33"/>
      <c r="J20" s="33"/>
      <c r="K20" s="33"/>
    </row>
    <row r="21" spans="1:11" ht="69" customHeight="1" x14ac:dyDescent="0.35">
      <c r="A21" s="19">
        <v>13</v>
      </c>
      <c r="B21" s="46" t="s">
        <v>138</v>
      </c>
      <c r="C21" s="6" t="s">
        <v>776</v>
      </c>
      <c r="D21" s="7" t="s">
        <v>777</v>
      </c>
      <c r="E21" s="7"/>
      <c r="F21" s="9" t="s">
        <v>197</v>
      </c>
      <c r="G21" s="10">
        <f>NGAY_BAT_DAU+245</f>
        <v>46524</v>
      </c>
      <c r="H21" s="10">
        <f>NGAY_BAT_DAU+251</f>
        <v>46530</v>
      </c>
      <c r="I21" s="23" t="s">
        <v>276</v>
      </c>
      <c r="J21" s="7" t="s">
        <v>778</v>
      </c>
      <c r="K21" s="12"/>
    </row>
    <row r="22" spans="1:11" ht="31.25" customHeight="1" x14ac:dyDescent="0.35">
      <c r="A22" s="19">
        <v>14</v>
      </c>
      <c r="B22" s="40"/>
      <c r="C22" s="13" t="s">
        <v>779</v>
      </c>
      <c r="D22" s="14"/>
      <c r="E22" s="14"/>
      <c r="F22" s="16" t="s">
        <v>635</v>
      </c>
      <c r="G22" s="10">
        <f>NGAY_BAT_DAU+245</f>
        <v>46524</v>
      </c>
      <c r="H22" s="10">
        <f>NGAY_BAT_DAU+251</f>
        <v>46530</v>
      </c>
      <c r="I22" s="23" t="s">
        <v>276</v>
      </c>
      <c r="J22" s="14" t="s">
        <v>496</v>
      </c>
      <c r="K22" s="17"/>
    </row>
    <row r="23" spans="1:11" ht="30" customHeight="1" x14ac:dyDescent="0.35">
      <c r="A23" s="32" t="str">
        <f>"📅 TUẦN 37  ·  "&amp;TEXT(NGAY_BAT_DAU+252,"dd/mm/yyyy")&amp;" – "&amp;TEXT(NGAY_BAT_DAU+258,"dd/mm/yyyy")&amp;"  —  Hài lòng người mua · Duy trì (kỳ thi)  │  🎯 Mục tiêu: Biết người trả tiền nghĩ gì; giữ nhịp tối thiểu trong kỳ thi.  │  💡 Cuối tuần biết được: Điểm hài lòng của người trả tiền"&amp;" và lý do điểm thấp."</f>
        <v>📅 TUẦN 37  ·  24/05/2027 – 30/05/2027  —  Hài lòng người mua · Duy trì (kỳ thi)  │  🎯 Mục tiêu: Biết người trả tiền nghĩ gì; giữ nhịp tối thiểu trong kỳ thi.  │  💡 Cuối tuần biết được: Điểm hài lòng của người trả tiền và lý do điểm thấp.</v>
      </c>
      <c r="B23" s="33"/>
      <c r="C23" s="33"/>
      <c r="D23" s="33"/>
      <c r="E23" s="33"/>
      <c r="F23" s="33"/>
      <c r="G23" s="33"/>
      <c r="H23" s="33"/>
      <c r="I23" s="33"/>
      <c r="J23" s="33"/>
      <c r="K23" s="33"/>
    </row>
    <row r="24" spans="1:11" ht="43.75" customHeight="1" x14ac:dyDescent="0.35">
      <c r="A24" s="20">
        <v>15</v>
      </c>
      <c r="B24" s="46" t="s">
        <v>199</v>
      </c>
      <c r="C24" s="6" t="s">
        <v>780</v>
      </c>
      <c r="D24" s="7" t="s">
        <v>781</v>
      </c>
      <c r="E24" s="7"/>
      <c r="F24" s="9" t="s">
        <v>323</v>
      </c>
      <c r="G24" s="10">
        <f>NGAY_BAT_DAU+252</f>
        <v>46531</v>
      </c>
      <c r="H24" s="10">
        <f>NGAY_BAT_DAU+258</f>
        <v>46537</v>
      </c>
      <c r="I24" s="23" t="s">
        <v>276</v>
      </c>
      <c r="J24" s="7" t="s">
        <v>782</v>
      </c>
      <c r="K24" s="12"/>
    </row>
    <row r="25" spans="1:11" ht="28" customHeight="1" x14ac:dyDescent="0.35">
      <c r="A25" s="20">
        <v>16</v>
      </c>
      <c r="B25" s="39"/>
      <c r="C25" s="13" t="s">
        <v>783</v>
      </c>
      <c r="D25" s="14" t="s">
        <v>784</v>
      </c>
      <c r="E25" s="14"/>
      <c r="F25" s="16" t="s">
        <v>286</v>
      </c>
      <c r="G25" s="10">
        <f>NGAY_BAT_DAU+252</f>
        <v>46531</v>
      </c>
      <c r="H25" s="10">
        <f>NGAY_BAT_DAU+258</f>
        <v>46537</v>
      </c>
      <c r="I25" s="23" t="s">
        <v>276</v>
      </c>
      <c r="J25" s="14"/>
      <c r="K25" s="17"/>
    </row>
    <row r="26" spans="1:11" ht="28" customHeight="1" x14ac:dyDescent="0.35">
      <c r="A26" s="20">
        <v>17</v>
      </c>
      <c r="B26" s="40"/>
      <c r="C26" s="6" t="s">
        <v>785</v>
      </c>
      <c r="D26" s="7"/>
      <c r="E26" s="7"/>
      <c r="F26" s="9" t="s">
        <v>290</v>
      </c>
      <c r="G26" s="10">
        <f>NGAY_BAT_DAU+252</f>
        <v>46531</v>
      </c>
      <c r="H26" s="10">
        <f>NGAY_BAT_DAU+258</f>
        <v>46537</v>
      </c>
      <c r="I26" s="23" t="s">
        <v>276</v>
      </c>
      <c r="J26" s="7"/>
      <c r="K26" s="12"/>
    </row>
    <row r="27" spans="1:11" ht="30" customHeight="1" x14ac:dyDescent="0.35">
      <c r="A27" s="32" t="str">
        <f>"📅 TUẦN 38  ·  "&amp;TEXT(NGAY_BAT_DAU+259,"dd/mm/yyyy")&amp;" – "&amp;TEXT(NGAY_BAT_DAU+265,"dd/mm/yyyy")&amp;"  —  Kết chu kỳ 5  │  🎯 Mục tiêu: Kết 4 cược; quyết định lô in 2.  │  💡 Cuối tuần biết được: Mạng 2 mất bao lâu để đạt 100; creator có hiệu quả không (cài/creator)."</f>
        <v>📅 TUẦN 38  ·  31/05/2027 – 06/06/2027  —  Kết chu kỳ 5  │  🎯 Mục tiêu: Kết 4 cược; quyết định lô in 2.  │  💡 Cuối tuần biết được: Mạng 2 mất bao lâu để đạt 100; creator có hiệu quả không (cài/creator).</v>
      </c>
      <c r="B27" s="33"/>
      <c r="C27" s="33"/>
      <c r="D27" s="33"/>
      <c r="E27" s="33"/>
      <c r="F27" s="33"/>
      <c r="G27" s="33"/>
      <c r="H27" s="33"/>
      <c r="I27" s="33"/>
      <c r="J27" s="33"/>
      <c r="K27" s="33"/>
    </row>
    <row r="28" spans="1:11" ht="43.75" customHeight="1" x14ac:dyDescent="0.35">
      <c r="A28" s="20">
        <v>18</v>
      </c>
      <c r="B28" s="46" t="s">
        <v>199</v>
      </c>
      <c r="C28" s="13" t="s">
        <v>786</v>
      </c>
      <c r="D28" s="14" t="s">
        <v>787</v>
      </c>
      <c r="E28" s="14"/>
      <c r="F28" s="16" t="s">
        <v>197</v>
      </c>
      <c r="G28" s="10">
        <f>NGAY_BAT_DAU+259</f>
        <v>46538</v>
      </c>
      <c r="H28" s="10">
        <f>NGAY_BAT_DAU+265</f>
        <v>46544</v>
      </c>
      <c r="I28" s="23" t="s">
        <v>276</v>
      </c>
      <c r="J28" s="14" t="s">
        <v>788</v>
      </c>
      <c r="K28" s="17"/>
    </row>
    <row r="29" spans="1:11" ht="31.25" customHeight="1" x14ac:dyDescent="0.35">
      <c r="A29" s="20">
        <v>19</v>
      </c>
      <c r="B29" s="39"/>
      <c r="C29" s="6" t="s">
        <v>789</v>
      </c>
      <c r="D29" s="7" t="s">
        <v>790</v>
      </c>
      <c r="E29" s="7"/>
      <c r="F29" s="9" t="s">
        <v>275</v>
      </c>
      <c r="G29" s="10">
        <f>NGAY_BAT_DAU+259</f>
        <v>46538</v>
      </c>
      <c r="H29" s="10">
        <f>NGAY_BAT_DAU+265</f>
        <v>46544</v>
      </c>
      <c r="I29" s="23" t="s">
        <v>276</v>
      </c>
      <c r="J29" s="7" t="s">
        <v>791</v>
      </c>
      <c r="K29" s="12"/>
    </row>
    <row r="30" spans="1:11" ht="28" customHeight="1" x14ac:dyDescent="0.35">
      <c r="A30" s="20">
        <v>20</v>
      </c>
      <c r="B30" s="40"/>
      <c r="C30" s="13" t="s">
        <v>792</v>
      </c>
      <c r="D30" s="14"/>
      <c r="E30" s="14"/>
      <c r="F30" s="16" t="s">
        <v>300</v>
      </c>
      <c r="G30" s="10">
        <f>NGAY_BAT_DAU+259</f>
        <v>46538</v>
      </c>
      <c r="H30" s="10">
        <f>NGAY_BAT_DAU+265</f>
        <v>46544</v>
      </c>
      <c r="I30" s="23" t="s">
        <v>276</v>
      </c>
      <c r="J30" s="14"/>
      <c r="K30" s="17"/>
    </row>
    <row r="31" spans="1:11" ht="30" customHeight="1" x14ac:dyDescent="0.35">
      <c r="A31" s="32" t="str">
        <f>"📅 TUẦN 39  ·  "&amp;TEXT(NGAY_BAT_DAU+266,"dd/mm/yyyy")&amp;" – "&amp;TEXT(NGAY_BAT_DAU+272,"dd/mm/yyyy")&amp;"  —  NGUỘI · Business.md 0.6 · Rà pháp lý  │  🎯 Mục tiêu: Tài liệu cập nhật; biết còn cách ngưỡng giấy phép bao xa.  │  💡 Cuối tuần biết được: Đã tới ngưỡng mạng xã hội chưa; hồ sơ"&amp;" dữ liệu cá nhân đến đâu."</f>
        <v>📅 TUẦN 39  ·  07/06/2027 – 13/06/2027  —  NGUỘI · Business.md 0.6 · Rà pháp lý  │  🎯 Mục tiêu: Tài liệu cập nhật; biết còn cách ngưỡng giấy phép bao xa.  │  💡 Cuối tuần biết được: Đã tới ngưỡng mạng xã hội chưa; hồ sơ dữ liệu cá nhân đến đâu.</v>
      </c>
      <c r="B31" s="33"/>
      <c r="C31" s="33"/>
      <c r="D31" s="33"/>
      <c r="E31" s="33"/>
      <c r="F31" s="33"/>
      <c r="G31" s="33"/>
      <c r="H31" s="33"/>
      <c r="I31" s="33"/>
      <c r="J31" s="33"/>
      <c r="K31" s="33"/>
    </row>
    <row r="32" spans="1:11" ht="31.25" customHeight="1" x14ac:dyDescent="0.35">
      <c r="A32" s="20">
        <v>21</v>
      </c>
      <c r="B32" s="46" t="s">
        <v>199</v>
      </c>
      <c r="C32" s="6" t="s">
        <v>793</v>
      </c>
      <c r="D32" s="7" t="s">
        <v>794</v>
      </c>
      <c r="E32" s="7"/>
      <c r="F32" s="9" t="s">
        <v>275</v>
      </c>
      <c r="G32" s="10">
        <f>NGAY_BAT_DAU+266</f>
        <v>46545</v>
      </c>
      <c r="H32" s="10">
        <f>NGAY_BAT_DAU+272</f>
        <v>46551</v>
      </c>
      <c r="I32" s="23" t="s">
        <v>276</v>
      </c>
      <c r="J32" s="7" t="s">
        <v>795</v>
      </c>
      <c r="K32" s="12"/>
    </row>
    <row r="33" spans="1:11" ht="69" customHeight="1" x14ac:dyDescent="0.35">
      <c r="A33" s="20">
        <v>22</v>
      </c>
      <c r="B33" s="39"/>
      <c r="C33" s="13" t="s">
        <v>796</v>
      </c>
      <c r="D33" s="14" t="s">
        <v>797</v>
      </c>
      <c r="E33" s="14"/>
      <c r="F33" s="16" t="s">
        <v>290</v>
      </c>
      <c r="G33" s="10">
        <f>NGAY_BAT_DAU+266</f>
        <v>46545</v>
      </c>
      <c r="H33" s="10">
        <f>NGAY_BAT_DAU+272</f>
        <v>46551</v>
      </c>
      <c r="I33" s="23" t="s">
        <v>276</v>
      </c>
      <c r="J33" s="14" t="s">
        <v>798</v>
      </c>
      <c r="K33" s="17"/>
    </row>
    <row r="34" spans="1:11" ht="28" customHeight="1" x14ac:dyDescent="0.35">
      <c r="A34" s="20">
        <v>23</v>
      </c>
      <c r="B34" s="40"/>
      <c r="C34" s="6" t="s">
        <v>799</v>
      </c>
      <c r="D34" s="7"/>
      <c r="E34" s="7"/>
      <c r="F34" s="9" t="s">
        <v>290</v>
      </c>
      <c r="G34" s="10">
        <f>NGAY_BAT_DAU+266</f>
        <v>46545</v>
      </c>
      <c r="H34" s="10">
        <f>NGAY_BAT_DAU+272</f>
        <v>46551</v>
      </c>
      <c r="I34" s="23" t="s">
        <v>276</v>
      </c>
      <c r="J34" s="7" t="s">
        <v>800</v>
      </c>
      <c r="K34" s="12"/>
    </row>
    <row r="35" spans="1:11" ht="30" customHeight="1" x14ac:dyDescent="0.35">
      <c r="A35" s="32" t="str">
        <f>"📅 TUẦN 40  ·  "&amp;TEXT(NGAY_BAT_DAU+273,"dd/mm/yyyy")&amp;" – "&amp;TEXT(NGAY_BAT_DAU+279,"dd/mm/yyyy")&amp;"  —  NGUỘI · Bàn cược C6 (mùa hè) · Dàn deck  │  🎯 Mục tiêu: Ba cược cho chu kỳ nặng nhất năm; dàn deck; lịch hè của nhóm.  │  💡 Cuối tuần biết được: Cược C6; ai ở Hà Nội ai về quê"&amp;" trong hè."</f>
        <v>📅 TUẦN 40  ·  14/06/2027 – 20/06/2027  —  NGUỘI · Bàn cược C6 (mùa hè) · Dàn deck  │  🎯 Mục tiêu: Ba cược cho chu kỳ nặng nhất năm; dàn deck; lịch hè của nhóm.  │  💡 Cuối tuần biết được: Cược C6; ai ở Hà Nội ai về quê trong hè.</v>
      </c>
      <c r="B35" s="33"/>
      <c r="C35" s="33"/>
      <c r="D35" s="33"/>
      <c r="E35" s="33"/>
      <c r="F35" s="33"/>
      <c r="G35" s="33"/>
      <c r="H35" s="33"/>
      <c r="I35" s="33"/>
      <c r="J35" s="33"/>
      <c r="K35" s="33"/>
    </row>
    <row r="36" spans="1:11" ht="56.4" customHeight="1" x14ac:dyDescent="0.35">
      <c r="A36" s="20">
        <v>24</v>
      </c>
      <c r="B36" s="46" t="s">
        <v>199</v>
      </c>
      <c r="C36" s="13" t="s">
        <v>801</v>
      </c>
      <c r="D36" s="14" t="s">
        <v>802</v>
      </c>
      <c r="E36" s="14"/>
      <c r="F36" s="16" t="s">
        <v>197</v>
      </c>
      <c r="G36" s="10">
        <f>NGAY_BAT_DAU+273</f>
        <v>46552</v>
      </c>
      <c r="H36" s="10">
        <f>NGAY_BAT_DAU+279</f>
        <v>46558</v>
      </c>
      <c r="I36" s="23" t="s">
        <v>276</v>
      </c>
      <c r="J36" s="14" t="s">
        <v>803</v>
      </c>
      <c r="K36" s="17"/>
    </row>
    <row r="37" spans="1:11" ht="31.25" customHeight="1" x14ac:dyDescent="0.35">
      <c r="A37" s="20">
        <v>25</v>
      </c>
      <c r="B37" s="39"/>
      <c r="C37" s="6" t="s">
        <v>804</v>
      </c>
      <c r="D37" s="7" t="s">
        <v>805</v>
      </c>
      <c r="E37" s="7"/>
      <c r="F37" s="9" t="s">
        <v>275</v>
      </c>
      <c r="G37" s="10">
        <f>NGAY_BAT_DAU+273</f>
        <v>46552</v>
      </c>
      <c r="H37" s="10">
        <f>NGAY_BAT_DAU+279</f>
        <v>46558</v>
      </c>
      <c r="I37" s="23" t="s">
        <v>276</v>
      </c>
      <c r="J37" s="7" t="s">
        <v>806</v>
      </c>
      <c r="K37" s="12"/>
    </row>
    <row r="38" spans="1:11" ht="31.25" customHeight="1" x14ac:dyDescent="0.35">
      <c r="A38" s="20">
        <v>26</v>
      </c>
      <c r="B38" s="40"/>
      <c r="C38" s="13" t="s">
        <v>807</v>
      </c>
      <c r="D38" s="14" t="s">
        <v>808</v>
      </c>
      <c r="E38" s="14"/>
      <c r="F38" s="16" t="s">
        <v>290</v>
      </c>
      <c r="G38" s="10">
        <f>NGAY_BAT_DAU+273</f>
        <v>46552</v>
      </c>
      <c r="H38" s="10">
        <f>NGAY_BAT_DAU+279</f>
        <v>46558</v>
      </c>
      <c r="I38" s="23" t="s">
        <v>276</v>
      </c>
      <c r="J38" s="14" t="s">
        <v>809</v>
      </c>
      <c r="K38" s="17"/>
    </row>
  </sheetData>
  <mergeCells count="18">
    <mergeCell ref="B36:B38"/>
    <mergeCell ref="B21:B22"/>
    <mergeCell ref="A35:K35"/>
    <mergeCell ref="B28:B30"/>
    <mergeCell ref="A20:K20"/>
    <mergeCell ref="B24:B26"/>
    <mergeCell ref="B32:B34"/>
    <mergeCell ref="B16:B19"/>
    <mergeCell ref="A1:K1"/>
    <mergeCell ref="A23:K23"/>
    <mergeCell ref="A27:K27"/>
    <mergeCell ref="A31:K31"/>
    <mergeCell ref="A15:K15"/>
    <mergeCell ref="A2:K2"/>
    <mergeCell ref="B6:B9"/>
    <mergeCell ref="A10:K10"/>
    <mergeCell ref="A5:K5"/>
    <mergeCell ref="B11:B14"/>
  </mergeCells>
  <conditionalFormatting sqref="I5:I38">
    <cfRule type="cellIs" dxfId="11" priority="1" operator="equal">
      <formula>"Xong"</formula>
    </cfRule>
    <cfRule type="cellIs" dxfId="10" priority="2" operator="equal">
      <formula>"Đang làm"</formula>
    </cfRule>
    <cfRule type="cellIs" dxfId="9" priority="3" operator="equal">
      <formula>"Cắt"</formula>
    </cfRule>
    <cfRule type="cellIs" dxfId="8" priority="4" operator="equal">
      <formula>"Tạm hoãn"</formula>
    </cfRule>
  </conditionalFormatting>
  <dataValidations count="1">
    <dataValidation type="list" allowBlank="1" sqref="I5:I38" xr:uid="{00000000-0002-0000-0500-000000000000}">
      <formula1>"Chưa bắt đầu,Đang làm,Xong,Cắt,Tạm hoãn"</formula1>
    </dataValidation>
  </dataValidations>
  <pageMargins left="0.75" right="0.75" top="1" bottom="1" header="0.5" footer="0.5"/>
  <pageSetup paperSize="8"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pageSetUpPr fitToPage="1"/>
  </sheetPr>
  <dimension ref="A1:K35"/>
  <sheetViews>
    <sheetView showGridLines="0" zoomScale="85" workbookViewId="0">
      <pane ySplit="4" topLeftCell="A5" activePane="bottomLeft" state="frozen"/>
      <selection pane="bottomLeft"/>
    </sheetView>
  </sheetViews>
  <sheetFormatPr defaultRowHeight="14.5" x14ac:dyDescent="0.35"/>
  <cols>
    <col min="1" max="1" width="6" customWidth="1"/>
    <col min="2" max="2" width="21" customWidth="1"/>
    <col min="3" max="3" width="34" customWidth="1"/>
    <col min="4" max="4" width="50" customWidth="1"/>
    <col min="5" max="5" width="34" customWidth="1"/>
    <col min="6" max="6" width="11" customWidth="1"/>
    <col min="7" max="8" width="14" customWidth="1"/>
    <col min="9" max="9" width="15" customWidth="1"/>
    <col min="10" max="10" width="40" customWidth="1"/>
    <col min="11" max="11" width="24" customWidth="1"/>
  </cols>
  <sheetData>
    <row r="1" spans="1:11" ht="32" customHeight="1" x14ac:dyDescent="0.35">
      <c r="A1" s="36" t="s">
        <v>810</v>
      </c>
      <c r="B1" s="37"/>
      <c r="C1" s="37"/>
      <c r="D1" s="37"/>
      <c r="E1" s="37"/>
      <c r="F1" s="37"/>
      <c r="G1" s="37"/>
      <c r="H1" s="37"/>
      <c r="I1" s="37"/>
      <c r="J1" s="37"/>
      <c r="K1" s="37"/>
    </row>
    <row r="2" spans="1:11" ht="19" customHeight="1" x14ac:dyDescent="0.35">
      <c r="A2" s="44" t="str">
        <f>"Tuần 41 – 48   │   "&amp;TEXT(NGAY_BAT_DAU+280,"dd/mm/yyyy")&amp;"  →  "&amp;TEXT(NGAY_BAT_DAU+335,"dd/mm/yyyy")&amp;"   │   6 tuần làm (T41–T46) + 2 tuần nguội (T47–T48) — chu kỳ nặng nhất năm   │   QUÝ 4 — GIAI ĐOẠN 4: DOANH THU"</f>
        <v>Tuần 41 – 48   │   21/06/2027  →  15/08/2027   │   6 tuần làm (T41–T46) + 2 tuần nguội (T47–T48) — chu kỳ nặng nhất năm   │   QUÝ 4 — GIAI ĐOẠN 4: DOANH THU</v>
      </c>
      <c r="B2" s="31"/>
      <c r="C2" s="31"/>
      <c r="D2" s="31"/>
      <c r="E2" s="31"/>
      <c r="F2" s="31"/>
      <c r="G2" s="31"/>
      <c r="H2" s="31"/>
      <c r="I2" s="31"/>
      <c r="J2" s="31"/>
      <c r="K2" s="31"/>
    </row>
    <row r="3" spans="1:11" ht="7" customHeight="1" x14ac:dyDescent="0.35"/>
    <row r="4" spans="1:11" ht="40" customHeight="1" x14ac:dyDescent="0.35">
      <c r="A4" s="4" t="s">
        <v>7</v>
      </c>
      <c r="B4" s="4" t="s">
        <v>8</v>
      </c>
      <c r="C4" s="4" t="s">
        <v>9</v>
      </c>
      <c r="D4" s="4" t="s">
        <v>10</v>
      </c>
      <c r="E4" s="4" t="s">
        <v>11</v>
      </c>
      <c r="F4" s="4" t="s">
        <v>12</v>
      </c>
      <c r="G4" s="4" t="s">
        <v>13</v>
      </c>
      <c r="H4" s="4" t="s">
        <v>14</v>
      </c>
      <c r="I4" s="4" t="s">
        <v>15</v>
      </c>
      <c r="J4" s="4" t="s">
        <v>16</v>
      </c>
      <c r="K4" s="4" t="s">
        <v>17</v>
      </c>
    </row>
    <row r="5" spans="1:11" ht="30" customHeight="1" x14ac:dyDescent="0.35">
      <c r="A5" s="32" t="str">
        <f>"📅 TUẦN 41  ·  "&amp;TEXT(NGAY_BAT_DAU+280,"dd/mm/yyyy")&amp;" – "&amp;TEXT(NGAY_BAT_DAU+286,"dd/mm/yyyy")&amp;"  —  Chiến dịch hè · Deck 10 slide · Bảo hiểm  │  🎯 Mục tiêu: Mùa cao điểm bắt đầu; có deck để chào B2B; biết mô hình hợp tác bảo hiểm.  │  💡 Cuối tuần biết được: Đầu mối B2B nào p"&amp;"hản hồi; mô hình bảo hiểm nào làm được."</f>
        <v>📅 TUẦN 41  ·  21/06/2027 – 27/06/2027  —  Chiến dịch hè · Deck 10 slide · Bảo hiểm  │  🎯 Mục tiêu: Mùa cao điểm bắt đầu; có deck để chào B2B; biết mô hình hợp tác bảo hiểm.  │  💡 Cuối tuần biết được: Đầu mối B2B nào phản hồi; mô hình bảo hiểm nào làm được.</v>
      </c>
      <c r="B5" s="33"/>
      <c r="C5" s="33"/>
      <c r="D5" s="33"/>
      <c r="E5" s="33"/>
      <c r="F5" s="33"/>
      <c r="G5" s="33"/>
      <c r="H5" s="33"/>
      <c r="I5" s="33"/>
      <c r="J5" s="33"/>
      <c r="K5" s="33"/>
    </row>
    <row r="6" spans="1:11" ht="94.25" customHeight="1" x14ac:dyDescent="0.35">
      <c r="A6" s="20">
        <v>1</v>
      </c>
      <c r="B6" s="46" t="s">
        <v>199</v>
      </c>
      <c r="C6" s="6" t="s">
        <v>811</v>
      </c>
      <c r="D6" s="7" t="s">
        <v>812</v>
      </c>
      <c r="E6" s="7"/>
      <c r="F6" s="9" t="s">
        <v>275</v>
      </c>
      <c r="G6" s="10">
        <f>NGAY_BAT_DAU+280</f>
        <v>46559</v>
      </c>
      <c r="H6" s="10">
        <f>NGAY_BAT_DAU+286</f>
        <v>46565</v>
      </c>
      <c r="I6" s="23" t="s">
        <v>276</v>
      </c>
      <c r="J6" s="7" t="s">
        <v>813</v>
      </c>
      <c r="K6" s="12"/>
    </row>
    <row r="7" spans="1:11" ht="43.75" customHeight="1" x14ac:dyDescent="0.35">
      <c r="A7" s="20">
        <v>2</v>
      </c>
      <c r="B7" s="39"/>
      <c r="C7" s="13" t="s">
        <v>814</v>
      </c>
      <c r="D7" s="14" t="s">
        <v>815</v>
      </c>
      <c r="E7" s="14"/>
      <c r="F7" s="16" t="s">
        <v>709</v>
      </c>
      <c r="G7" s="10">
        <f>NGAY_BAT_DAU+280</f>
        <v>46559</v>
      </c>
      <c r="H7" s="10">
        <f>NGAY_BAT_DAU+286</f>
        <v>46565</v>
      </c>
      <c r="I7" s="23" t="s">
        <v>276</v>
      </c>
      <c r="J7" s="14" t="s">
        <v>816</v>
      </c>
      <c r="K7" s="17"/>
    </row>
    <row r="8" spans="1:11" ht="28" customHeight="1" x14ac:dyDescent="0.35">
      <c r="A8" s="20">
        <v>3</v>
      </c>
      <c r="B8" s="39"/>
      <c r="C8" s="6" t="s">
        <v>817</v>
      </c>
      <c r="D8" s="7" t="s">
        <v>818</v>
      </c>
      <c r="E8" s="7"/>
      <c r="F8" s="9" t="s">
        <v>286</v>
      </c>
      <c r="G8" s="10">
        <f>NGAY_BAT_DAU+280</f>
        <v>46559</v>
      </c>
      <c r="H8" s="10">
        <f>NGAY_BAT_DAU+286</f>
        <v>46565</v>
      </c>
      <c r="I8" s="23" t="s">
        <v>276</v>
      </c>
      <c r="J8" s="7" t="s">
        <v>819</v>
      </c>
      <c r="K8" s="12"/>
    </row>
    <row r="9" spans="1:11" ht="28" customHeight="1" x14ac:dyDescent="0.35">
      <c r="A9" s="20">
        <v>4</v>
      </c>
      <c r="B9" s="39"/>
      <c r="C9" s="13" t="s">
        <v>820</v>
      </c>
      <c r="D9" s="14" t="s">
        <v>821</v>
      </c>
      <c r="E9" s="14"/>
      <c r="F9" s="16" t="s">
        <v>323</v>
      </c>
      <c r="G9" s="10">
        <f>NGAY_BAT_DAU+280</f>
        <v>46559</v>
      </c>
      <c r="H9" s="10">
        <f>NGAY_BAT_DAU+286</f>
        <v>46565</v>
      </c>
      <c r="I9" s="23" t="s">
        <v>276</v>
      </c>
      <c r="J9" s="14" t="s">
        <v>822</v>
      </c>
      <c r="K9" s="17"/>
    </row>
    <row r="10" spans="1:11" ht="56.4" customHeight="1" x14ac:dyDescent="0.35">
      <c r="A10" s="20">
        <v>5</v>
      </c>
      <c r="B10" s="40"/>
      <c r="C10" s="6" t="s">
        <v>823</v>
      </c>
      <c r="D10" s="7" t="s">
        <v>824</v>
      </c>
      <c r="E10" s="7"/>
      <c r="F10" s="9" t="s">
        <v>825</v>
      </c>
      <c r="G10" s="10">
        <f>NGAY_BAT_DAU+280</f>
        <v>46559</v>
      </c>
      <c r="H10" s="10">
        <f>NGAY_BAT_DAU+286</f>
        <v>46565</v>
      </c>
      <c r="I10" s="23" t="s">
        <v>276</v>
      </c>
      <c r="J10" s="7" t="s">
        <v>826</v>
      </c>
      <c r="K10" s="12"/>
    </row>
    <row r="11" spans="1:11" ht="30" customHeight="1" x14ac:dyDescent="0.35">
      <c r="A11" s="32" t="str">
        <f>"📅 TUẦN 42  ·  "&amp;TEXT(NGAY_BAT_DAU+287,"dd/mm/yyyy")&amp;" – "&amp;TEXT(NGAY_BAT_DAU+293,"dd/mm/yyyy")&amp;"  —  Gặp 3 đầu mối B2B · Đo hè tuần 2  │  🎯 Mục tiêu: Biết B2B đo thành công bằng gì và ai quyết.  │  💡 Cuối tuần biết được: B2B đo thành công bằng gì, ngân sách và chu kỳ quyết đị"&amp;"nh."</f>
        <v>📅 TUẦN 42  ·  28/06/2027 – 04/07/2027  —  Gặp 3 đầu mối B2B · Đo hè tuần 2  │  🎯 Mục tiêu: Biết B2B đo thành công bằng gì và ai quyết.  │  💡 Cuối tuần biết được: B2B đo thành công bằng gì, ngân sách và chu kỳ quyết định.</v>
      </c>
      <c r="B11" s="33"/>
      <c r="C11" s="33"/>
      <c r="D11" s="33"/>
      <c r="E11" s="33"/>
      <c r="F11" s="33"/>
      <c r="G11" s="33"/>
      <c r="H11" s="33"/>
      <c r="I11" s="33"/>
      <c r="J11" s="33"/>
      <c r="K11" s="33"/>
    </row>
    <row r="12" spans="1:11" ht="56.4" customHeight="1" x14ac:dyDescent="0.35">
      <c r="A12" s="20">
        <v>6</v>
      </c>
      <c r="B12" s="46" t="s">
        <v>199</v>
      </c>
      <c r="C12" s="13" t="s">
        <v>827</v>
      </c>
      <c r="D12" s="14" t="s">
        <v>828</v>
      </c>
      <c r="E12" s="14"/>
      <c r="F12" s="16" t="s">
        <v>709</v>
      </c>
      <c r="G12" s="10">
        <f>NGAY_BAT_DAU+287</f>
        <v>46566</v>
      </c>
      <c r="H12" s="10">
        <f>NGAY_BAT_DAU+293</f>
        <v>46572</v>
      </c>
      <c r="I12" s="23" t="s">
        <v>276</v>
      </c>
      <c r="J12" s="14" t="s">
        <v>829</v>
      </c>
      <c r="K12" s="17"/>
    </row>
    <row r="13" spans="1:11" ht="28" customHeight="1" x14ac:dyDescent="0.35">
      <c r="A13" s="20">
        <v>7</v>
      </c>
      <c r="B13" s="39"/>
      <c r="C13" s="6" t="s">
        <v>830</v>
      </c>
      <c r="D13" s="7" t="s">
        <v>831</v>
      </c>
      <c r="E13" s="7"/>
      <c r="F13" s="9" t="s">
        <v>832</v>
      </c>
      <c r="G13" s="10">
        <f>NGAY_BAT_DAU+287</f>
        <v>46566</v>
      </c>
      <c r="H13" s="10">
        <f>NGAY_BAT_DAU+293</f>
        <v>46572</v>
      </c>
      <c r="I13" s="23" t="s">
        <v>276</v>
      </c>
      <c r="J13" s="7" t="s">
        <v>833</v>
      </c>
      <c r="K13" s="12"/>
    </row>
    <row r="14" spans="1:11" ht="28" customHeight="1" x14ac:dyDescent="0.35">
      <c r="A14" s="20">
        <v>8</v>
      </c>
      <c r="B14" s="40"/>
      <c r="C14" s="13" t="s">
        <v>834</v>
      </c>
      <c r="D14" s="14" t="s">
        <v>835</v>
      </c>
      <c r="E14" s="14"/>
      <c r="F14" s="16" t="s">
        <v>286</v>
      </c>
      <c r="G14" s="10">
        <f>NGAY_BAT_DAU+287</f>
        <v>46566</v>
      </c>
      <c r="H14" s="10">
        <f>NGAY_BAT_DAU+293</f>
        <v>46572</v>
      </c>
      <c r="I14" s="23" t="s">
        <v>276</v>
      </c>
      <c r="J14" s="14"/>
      <c r="K14" s="17"/>
    </row>
    <row r="15" spans="1:11" ht="30" customHeight="1" x14ac:dyDescent="0.35">
      <c r="A15" s="32" t="str">
        <f>"📅 TUẦN 43  ·  "&amp;TEXT(NGAY_BAT_DAU+294,"dd/mm/yyyy")&amp;" – "&amp;TEXT(NGAY_BAT_DAU+300,"dd/mm/yyyy")&amp;"  —  Tối ưu chuyển đổi dòng thu chính · Lô in 2  │  🎯 Mục tiêu: Thử thông điệp «lợi ích &gt; tiền»; lô 2 vào xưởng.  │  💡 Cuối tuần biết được: Thông điệp nào cho chuyển đổi cao hơn (s"&amp;"au 2 tuần)."</f>
        <v>📅 TUẦN 43  ·  05/07/2027 – 11/07/2027  —  Tối ưu chuyển đổi dòng thu chính · Lô in 2  │  🎯 Mục tiêu: Thử thông điệp «lợi ích &gt; tiền»; lô 2 vào xưởng.  │  💡 Cuối tuần biết được: Thông điệp nào cho chuyển đổi cao hơn (sau 2 tuần).</v>
      </c>
      <c r="B15" s="33"/>
      <c r="C15" s="33"/>
      <c r="D15" s="33"/>
      <c r="E15" s="33"/>
      <c r="F15" s="33"/>
      <c r="G15" s="33"/>
      <c r="H15" s="33"/>
      <c r="I15" s="33"/>
      <c r="J15" s="33"/>
      <c r="K15" s="33"/>
    </row>
    <row r="16" spans="1:11" ht="56.4" customHeight="1" x14ac:dyDescent="0.35">
      <c r="A16" s="20">
        <v>9</v>
      </c>
      <c r="B16" s="46" t="s">
        <v>199</v>
      </c>
      <c r="C16" s="6" t="s">
        <v>836</v>
      </c>
      <c r="D16" s="7" t="s">
        <v>837</v>
      </c>
      <c r="E16" s="7"/>
      <c r="F16" s="9" t="s">
        <v>838</v>
      </c>
      <c r="G16" s="10">
        <f>NGAY_BAT_DAU+294</f>
        <v>46573</v>
      </c>
      <c r="H16" s="10">
        <f>NGAY_BAT_DAU+300</f>
        <v>46579</v>
      </c>
      <c r="I16" s="23" t="s">
        <v>276</v>
      </c>
      <c r="J16" s="7" t="s">
        <v>839</v>
      </c>
      <c r="K16" s="12"/>
    </row>
    <row r="17" spans="1:11" ht="28" customHeight="1" x14ac:dyDescent="0.35">
      <c r="A17" s="20">
        <v>10</v>
      </c>
      <c r="B17" s="39"/>
      <c r="C17" s="13" t="s">
        <v>840</v>
      </c>
      <c r="D17" s="14" t="s">
        <v>841</v>
      </c>
      <c r="E17" s="14"/>
      <c r="F17" s="16" t="s">
        <v>323</v>
      </c>
      <c r="G17" s="10">
        <f>NGAY_BAT_DAU+294</f>
        <v>46573</v>
      </c>
      <c r="H17" s="10">
        <f>NGAY_BAT_DAU+300</f>
        <v>46579</v>
      </c>
      <c r="I17" s="23" t="s">
        <v>276</v>
      </c>
      <c r="J17" s="14" t="s">
        <v>842</v>
      </c>
      <c r="K17" s="17"/>
    </row>
    <row r="18" spans="1:11" ht="28" customHeight="1" x14ac:dyDescent="0.35">
      <c r="A18" s="20">
        <v>11</v>
      </c>
      <c r="B18" s="40"/>
      <c r="C18" s="6" t="s">
        <v>843</v>
      </c>
      <c r="D18" s="7"/>
      <c r="E18" s="7"/>
      <c r="F18" s="9" t="s">
        <v>286</v>
      </c>
      <c r="G18" s="10">
        <f>NGAY_BAT_DAU+294</f>
        <v>46573</v>
      </c>
      <c r="H18" s="10">
        <f>NGAY_BAT_DAU+300</f>
        <v>46579</v>
      </c>
      <c r="I18" s="23" t="s">
        <v>276</v>
      </c>
      <c r="J18" s="7"/>
      <c r="K18" s="12"/>
    </row>
    <row r="19" spans="1:11" ht="30" customHeight="1" x14ac:dyDescent="0.35">
      <c r="A19" s="32" t="str">
        <f>"📅 TUẦN 44  ·  "&amp;TEXT(NGAY_BAT_DAU+301,"dd/mm/yyyy")&amp;" – "&amp;TEXT(NGAY_BAT_DAU+307,"dd/mm/yyyy")&amp;"  —  Chăm sóc khách hàng chính thức hoá · An toàn mùa hè  │  🎯 Mục tiêu: Chuyển từ trả lời tay sang quy trình; nội dung an toàn cập nhật theo mùa.  │  💡 Cuối tuần biết được: Câu hỏ"&amp;"i nào hay gặp nhất; sự cố mùa hè nào cần cảnh báo."</f>
        <v>📅 TUẦN 44  ·  12/07/2027 – 18/07/2027  —  Chăm sóc khách hàng chính thức hoá · An toàn mùa hè  │  🎯 Mục tiêu: Chuyển từ trả lời tay sang quy trình; nội dung an toàn cập nhật theo mùa.  │  💡 Cuối tuần biết được: Câu hỏi nào hay gặp nhất; sự cố mùa hè nào cần cảnh báo.</v>
      </c>
      <c r="B19" s="33"/>
      <c r="C19" s="33"/>
      <c r="D19" s="33"/>
      <c r="E19" s="33"/>
      <c r="F19" s="33"/>
      <c r="G19" s="33"/>
      <c r="H19" s="33"/>
      <c r="I19" s="33"/>
      <c r="J19" s="33"/>
      <c r="K19" s="33"/>
    </row>
    <row r="20" spans="1:11" ht="69" customHeight="1" x14ac:dyDescent="0.35">
      <c r="A20" s="20">
        <v>12</v>
      </c>
      <c r="B20" s="46" t="s">
        <v>199</v>
      </c>
      <c r="C20" s="13" t="s">
        <v>844</v>
      </c>
      <c r="D20" s="14" t="s">
        <v>845</v>
      </c>
      <c r="E20" s="14"/>
      <c r="F20" s="16" t="s">
        <v>323</v>
      </c>
      <c r="G20" s="10">
        <f>NGAY_BAT_DAU+301</f>
        <v>46580</v>
      </c>
      <c r="H20" s="10">
        <f>NGAY_BAT_DAU+307</f>
        <v>46586</v>
      </c>
      <c r="I20" s="23" t="s">
        <v>276</v>
      </c>
      <c r="J20" s="14" t="s">
        <v>846</v>
      </c>
      <c r="K20" s="17"/>
    </row>
    <row r="21" spans="1:11" ht="43.75" customHeight="1" x14ac:dyDescent="0.35">
      <c r="A21" s="20">
        <v>13</v>
      </c>
      <c r="B21" s="39"/>
      <c r="C21" s="6" t="s">
        <v>847</v>
      </c>
      <c r="D21" s="7" t="s">
        <v>848</v>
      </c>
      <c r="E21" s="7"/>
      <c r="F21" s="9" t="s">
        <v>323</v>
      </c>
      <c r="G21" s="10">
        <f>NGAY_BAT_DAU+301</f>
        <v>46580</v>
      </c>
      <c r="H21" s="10">
        <f>NGAY_BAT_DAU+307</f>
        <v>46586</v>
      </c>
      <c r="I21" s="23" t="s">
        <v>276</v>
      </c>
      <c r="J21" s="7" t="s">
        <v>849</v>
      </c>
      <c r="K21" s="12"/>
    </row>
    <row r="22" spans="1:11" ht="28" customHeight="1" x14ac:dyDescent="0.35">
      <c r="A22" s="20">
        <v>14</v>
      </c>
      <c r="B22" s="40"/>
      <c r="C22" s="13" t="s">
        <v>850</v>
      </c>
      <c r="D22" s="14"/>
      <c r="E22" s="14"/>
      <c r="F22" s="16" t="s">
        <v>286</v>
      </c>
      <c r="G22" s="10">
        <f>NGAY_BAT_DAU+301</f>
        <v>46580</v>
      </c>
      <c r="H22" s="10">
        <f>NGAY_BAT_DAU+307</f>
        <v>46586</v>
      </c>
      <c r="I22" s="23" t="s">
        <v>276</v>
      </c>
      <c r="J22" s="14"/>
      <c r="K22" s="17"/>
    </row>
    <row r="23" spans="1:11" ht="30" customHeight="1" x14ac:dyDescent="0.35">
      <c r="A23" s="32" t="str">
        <f>"📅 TUẦN 45  ·  "&amp;TEXT(NGAY_BAT_DAU+308,"dd/mm/yyyy")&amp;" – "&amp;TEXT(NGAY_BAT_DAU+314,"dd/mm/yyyy")&amp;"  —  B2B hợp đồng thử · Thuế quý · Dòng tiền v5  │  🎯 Mục tiêu: Có đề xuất B2B trên bàn; nghĩa vụ thuế đúng hạn; biết LTV/CAC.  │  💡 Cuối tuần biết được: LTV/CAC theo kênh; tháng h"&amp;"oà vốn hạ tầng + kế toán."</f>
        <v>📅 TUẦN 45  ·  19/07/2027 – 25/07/2027  —  B2B hợp đồng thử · Thuế quý · Dòng tiền v5  │  🎯 Mục tiêu: Có đề xuất B2B trên bàn; nghĩa vụ thuế đúng hạn; biết LTV/CAC.  │  💡 Cuối tuần biết được: LTV/CAC theo kênh; tháng hoà vốn hạ tầng + kế toán.</v>
      </c>
      <c r="B23" s="33"/>
      <c r="C23" s="33"/>
      <c r="D23" s="33"/>
      <c r="E23" s="33"/>
      <c r="F23" s="33"/>
      <c r="G23" s="33"/>
      <c r="H23" s="33"/>
      <c r="I23" s="33"/>
      <c r="J23" s="33"/>
      <c r="K23" s="33"/>
    </row>
    <row r="24" spans="1:11" ht="56.4" customHeight="1" x14ac:dyDescent="0.35">
      <c r="A24" s="20">
        <v>15</v>
      </c>
      <c r="B24" s="46" t="s">
        <v>199</v>
      </c>
      <c r="C24" s="6" t="s">
        <v>851</v>
      </c>
      <c r="D24" s="7" t="s">
        <v>852</v>
      </c>
      <c r="E24" s="7"/>
      <c r="F24" s="9" t="s">
        <v>275</v>
      </c>
      <c r="G24" s="10">
        <f>NGAY_BAT_DAU+308</f>
        <v>46587</v>
      </c>
      <c r="H24" s="10">
        <f>NGAY_BAT_DAU+314</f>
        <v>46593</v>
      </c>
      <c r="I24" s="23" t="s">
        <v>276</v>
      </c>
      <c r="J24" s="7" t="s">
        <v>853</v>
      </c>
      <c r="K24" s="12"/>
    </row>
    <row r="25" spans="1:11" ht="28" customHeight="1" x14ac:dyDescent="0.35">
      <c r="A25" s="20">
        <v>16</v>
      </c>
      <c r="B25" s="39"/>
      <c r="C25" s="13" t="s">
        <v>854</v>
      </c>
      <c r="D25" s="14" t="s">
        <v>855</v>
      </c>
      <c r="E25" s="14"/>
      <c r="F25" s="16" t="s">
        <v>290</v>
      </c>
      <c r="G25" s="10">
        <f>NGAY_BAT_DAU+308</f>
        <v>46587</v>
      </c>
      <c r="H25" s="10">
        <f>NGAY_BAT_DAU+314</f>
        <v>46593</v>
      </c>
      <c r="I25" s="23" t="s">
        <v>276</v>
      </c>
      <c r="J25" s="14" t="s">
        <v>856</v>
      </c>
      <c r="K25" s="17"/>
    </row>
    <row r="26" spans="1:11" ht="43.75" customHeight="1" x14ac:dyDescent="0.35">
      <c r="A26" s="20">
        <v>17</v>
      </c>
      <c r="B26" s="40"/>
      <c r="C26" s="6" t="s">
        <v>857</v>
      </c>
      <c r="D26" s="7" t="s">
        <v>858</v>
      </c>
      <c r="E26" s="7"/>
      <c r="F26" s="9" t="s">
        <v>290</v>
      </c>
      <c r="G26" s="10">
        <f>NGAY_BAT_DAU+308</f>
        <v>46587</v>
      </c>
      <c r="H26" s="10">
        <f>NGAY_BAT_DAU+314</f>
        <v>46593</v>
      </c>
      <c r="I26" s="23" t="s">
        <v>276</v>
      </c>
      <c r="J26" s="7" t="s">
        <v>859</v>
      </c>
      <c r="K26" s="12"/>
    </row>
    <row r="27" spans="1:11" ht="30" customHeight="1" x14ac:dyDescent="0.35">
      <c r="A27" s="32" t="str">
        <f>"📅 TUẦN 46  ·  "&amp;TEXT(NGAY_BAT_DAU+315,"dd/mm/yyyy")&amp;" – "&amp;TEXT(NGAY_BAT_DAU+321,"dd/mm/yyyy")&amp;"  —  Kết chu kỳ 6  │  🎯 Mục tiêu: Kết 3 cược mùa hè; rút bài học cho hè năm sau.  │  💡 Cuối tuần biết được: Hè có nhân đôi người hoạt động không; B2B có hợp đồng không; A/B kết quả"&amp;"."</f>
        <v>📅 TUẦN 46  ·  26/07/2027 – 01/08/2027  —  Kết chu kỳ 6  │  🎯 Mục tiêu: Kết 3 cược mùa hè; rút bài học cho hè năm sau.  │  💡 Cuối tuần biết được: Hè có nhân đôi người hoạt động không; B2B có hợp đồng không; A/B kết quả.</v>
      </c>
      <c r="B27" s="33"/>
      <c r="C27" s="33"/>
      <c r="D27" s="33"/>
      <c r="E27" s="33"/>
      <c r="F27" s="33"/>
      <c r="G27" s="33"/>
      <c r="H27" s="33"/>
      <c r="I27" s="33"/>
      <c r="J27" s="33"/>
      <c r="K27" s="33"/>
    </row>
    <row r="28" spans="1:11" ht="31.25" customHeight="1" x14ac:dyDescent="0.35">
      <c r="A28" s="20">
        <v>18</v>
      </c>
      <c r="B28" s="46" t="s">
        <v>199</v>
      </c>
      <c r="C28" s="13" t="s">
        <v>860</v>
      </c>
      <c r="D28" s="14" t="s">
        <v>861</v>
      </c>
      <c r="E28" s="14"/>
      <c r="F28" s="16" t="s">
        <v>197</v>
      </c>
      <c r="G28" s="10">
        <f>NGAY_BAT_DAU+315</f>
        <v>46594</v>
      </c>
      <c r="H28" s="10">
        <f>NGAY_BAT_DAU+321</f>
        <v>46600</v>
      </c>
      <c r="I28" s="23" t="s">
        <v>276</v>
      </c>
      <c r="J28" s="14" t="s">
        <v>862</v>
      </c>
      <c r="K28" s="17"/>
    </row>
    <row r="29" spans="1:11" ht="28" customHeight="1" x14ac:dyDescent="0.35">
      <c r="A29" s="20">
        <v>19</v>
      </c>
      <c r="B29" s="40"/>
      <c r="C29" s="6" t="s">
        <v>863</v>
      </c>
      <c r="D29" s="7"/>
      <c r="E29" s="7"/>
      <c r="F29" s="9" t="s">
        <v>768</v>
      </c>
      <c r="G29" s="10">
        <f>NGAY_BAT_DAU+315</f>
        <v>46594</v>
      </c>
      <c r="H29" s="10">
        <f>NGAY_BAT_DAU+321</f>
        <v>46600</v>
      </c>
      <c r="I29" s="23" t="s">
        <v>276</v>
      </c>
      <c r="J29" s="7" t="s">
        <v>864</v>
      </c>
      <c r="K29" s="12"/>
    </row>
    <row r="30" spans="1:11" ht="30" customHeight="1" x14ac:dyDescent="0.35">
      <c r="A30" s="32" t="str">
        <f>"📅 TUẦN 47  ·  "&amp;TEXT(NGAY_BAT_DAU+322,"dd/mm/yyyy")&amp;" – "&amp;TEXT(NGAY_BAT_DAU+328,"dd/mm/yyyy")&amp;"  —  NGUỘI · Business.md 0.7 · Rủi ro · Pháp lý  │  🎯 Mục tiêu: Tài liệu và hồ sơ sẵn sàng cho cổng quý 4.  │  💡 Cuối tuần biết được: Đủ số để ra quyết định năm 2 hay chưa."</f>
        <v>📅 TUẦN 47  ·  02/08/2027 – 08/08/2027  —  NGUỘI · Business.md 0.7 · Rủi ro · Pháp lý  │  🎯 Mục tiêu: Tài liệu và hồ sơ sẵn sàng cho cổng quý 4.  │  💡 Cuối tuần biết được: Đủ số để ra quyết định năm 2 hay chưa.</v>
      </c>
      <c r="B30" s="33"/>
      <c r="C30" s="33"/>
      <c r="D30" s="33"/>
      <c r="E30" s="33"/>
      <c r="F30" s="33"/>
      <c r="G30" s="33"/>
      <c r="H30" s="33"/>
      <c r="I30" s="33"/>
      <c r="J30" s="33"/>
      <c r="K30" s="33"/>
    </row>
    <row r="31" spans="1:11" ht="31.25" customHeight="1" x14ac:dyDescent="0.35">
      <c r="A31" s="20">
        <v>20</v>
      </c>
      <c r="B31" s="46" t="s">
        <v>199</v>
      </c>
      <c r="C31" s="13" t="s">
        <v>865</v>
      </c>
      <c r="D31" s="14" t="s">
        <v>866</v>
      </c>
      <c r="E31" s="14"/>
      <c r="F31" s="16" t="s">
        <v>275</v>
      </c>
      <c r="G31" s="10">
        <f>NGAY_BAT_DAU+322</f>
        <v>46601</v>
      </c>
      <c r="H31" s="10">
        <f>NGAY_BAT_DAU+328</f>
        <v>46607</v>
      </c>
      <c r="I31" s="23" t="s">
        <v>276</v>
      </c>
      <c r="J31" s="14" t="s">
        <v>867</v>
      </c>
      <c r="K31" s="17"/>
    </row>
    <row r="32" spans="1:11" ht="31.25" customHeight="1" x14ac:dyDescent="0.35">
      <c r="A32" s="20">
        <v>21</v>
      </c>
      <c r="B32" s="39"/>
      <c r="C32" s="6" t="s">
        <v>868</v>
      </c>
      <c r="D32" s="7" t="s">
        <v>869</v>
      </c>
      <c r="E32" s="7"/>
      <c r="F32" s="9" t="s">
        <v>290</v>
      </c>
      <c r="G32" s="10">
        <f>NGAY_BAT_DAU+322</f>
        <v>46601</v>
      </c>
      <c r="H32" s="10">
        <f>NGAY_BAT_DAU+328</f>
        <v>46607</v>
      </c>
      <c r="I32" s="23" t="s">
        <v>276</v>
      </c>
      <c r="J32" s="7" t="s">
        <v>870</v>
      </c>
      <c r="K32" s="12"/>
    </row>
    <row r="33" spans="1:11" ht="31.25" customHeight="1" x14ac:dyDescent="0.35">
      <c r="A33" s="20">
        <v>22</v>
      </c>
      <c r="B33" s="40"/>
      <c r="C33" s="13" t="s">
        <v>871</v>
      </c>
      <c r="D33" s="14" t="s">
        <v>872</v>
      </c>
      <c r="E33" s="14"/>
      <c r="F33" s="16" t="s">
        <v>290</v>
      </c>
      <c r="G33" s="10">
        <f>NGAY_BAT_DAU+322</f>
        <v>46601</v>
      </c>
      <c r="H33" s="10">
        <f>NGAY_BAT_DAU+328</f>
        <v>46607</v>
      </c>
      <c r="I33" s="23" t="s">
        <v>276</v>
      </c>
      <c r="J33" s="14" t="s">
        <v>873</v>
      </c>
      <c r="K33" s="17"/>
    </row>
    <row r="34" spans="1:11" ht="30" customHeight="1" x14ac:dyDescent="0.35">
      <c r="A34" s="32" t="str">
        <f>"📅 TUẦN 48  ·  "&amp;TEXT(NGAY_BAT_DAU+329,"dd/mm/yyyy")&amp;" – "&amp;TEXT(NGAY_BAT_DAU+335,"dd/mm/yyyy")&amp;"  —  CỔNG QUÝ 4 — gọi vốn / thi / tự nuôi / dừng  │  🎯 Mục tiêu: Quyết định hướng đi năm 2 bằng tiêu chí đã viết trước.  │  💡 Cuối tuần biết được: Năm 2 đi hướng nào."</f>
        <v>📅 TUẦN 48  ·  09/08/2027 – 15/08/2027  —  CỔNG QUÝ 4 — gọi vốn / thi / tự nuôi / dừng  │  🎯 Mục tiêu: Quyết định hướng đi năm 2 bằng tiêu chí đã viết trước.  │  💡 Cuối tuần biết được: Năm 2 đi hướng nào.</v>
      </c>
      <c r="B34" s="33"/>
      <c r="C34" s="33"/>
      <c r="D34" s="33"/>
      <c r="E34" s="33"/>
      <c r="F34" s="33"/>
      <c r="G34" s="33"/>
      <c r="H34" s="33"/>
      <c r="I34" s="33"/>
      <c r="J34" s="33"/>
      <c r="K34" s="33"/>
    </row>
    <row r="35" spans="1:11" ht="56.4" customHeight="1" x14ac:dyDescent="0.35">
      <c r="A35" s="20">
        <v>23</v>
      </c>
      <c r="B35" s="22" t="s">
        <v>199</v>
      </c>
      <c r="C35" s="6" t="s">
        <v>874</v>
      </c>
      <c r="D35" s="7" t="s">
        <v>875</v>
      </c>
      <c r="E35" s="7"/>
      <c r="F35" s="9" t="s">
        <v>197</v>
      </c>
      <c r="G35" s="10">
        <f>NGAY_BAT_DAU+329</f>
        <v>46608</v>
      </c>
      <c r="H35" s="10">
        <f>NGAY_BAT_DAU+335</f>
        <v>46614</v>
      </c>
      <c r="I35" s="23" t="s">
        <v>276</v>
      </c>
      <c r="J35" s="7" t="s">
        <v>876</v>
      </c>
      <c r="K35" s="12"/>
    </row>
  </sheetData>
  <mergeCells count="17">
    <mergeCell ref="B31:B33"/>
    <mergeCell ref="A34:K34"/>
    <mergeCell ref="A30:K30"/>
    <mergeCell ref="B20:B22"/>
    <mergeCell ref="A15:K15"/>
    <mergeCell ref="B24:B26"/>
    <mergeCell ref="B28:B29"/>
    <mergeCell ref="A1:K1"/>
    <mergeCell ref="A23:K23"/>
    <mergeCell ref="A27:K27"/>
    <mergeCell ref="B12:B14"/>
    <mergeCell ref="A2:K2"/>
    <mergeCell ref="A11:K11"/>
    <mergeCell ref="A19:K19"/>
    <mergeCell ref="B6:B10"/>
    <mergeCell ref="A5:K5"/>
    <mergeCell ref="B16:B18"/>
  </mergeCells>
  <conditionalFormatting sqref="I5:I35">
    <cfRule type="cellIs" dxfId="7" priority="1" operator="equal">
      <formula>"Xong"</formula>
    </cfRule>
    <cfRule type="cellIs" dxfId="6" priority="2" operator="equal">
      <formula>"Đang làm"</formula>
    </cfRule>
    <cfRule type="cellIs" dxfId="5" priority="3" operator="equal">
      <formula>"Cắt"</formula>
    </cfRule>
    <cfRule type="cellIs" dxfId="4" priority="4" operator="equal">
      <formula>"Tạm hoãn"</formula>
    </cfRule>
  </conditionalFormatting>
  <dataValidations count="1">
    <dataValidation type="list" allowBlank="1" sqref="I5:I35" xr:uid="{00000000-0002-0000-0600-000000000000}">
      <formula1>"Chưa bắt đầu,Đang làm,Xong,Cắt,Tạm hoãn"</formula1>
    </dataValidation>
  </dataValidations>
  <pageMargins left="0.75" right="0.75" top="1" bottom="1" header="0.5" footer="0.5"/>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9B8F"/>
    <pageSetUpPr fitToPage="1"/>
  </sheetPr>
  <dimension ref="A1:K15"/>
  <sheetViews>
    <sheetView showGridLines="0" zoomScale="85" workbookViewId="0">
      <pane ySplit="4" topLeftCell="A5" activePane="bottomLeft" state="frozen"/>
      <selection pane="bottomLeft"/>
    </sheetView>
  </sheetViews>
  <sheetFormatPr defaultRowHeight="14.5" x14ac:dyDescent="0.35"/>
  <cols>
    <col min="1" max="1" width="6" customWidth="1"/>
    <col min="2" max="2" width="21" customWidth="1"/>
    <col min="3" max="3" width="34" customWidth="1"/>
    <col min="4" max="4" width="50" customWidth="1"/>
    <col min="5" max="5" width="34" customWidth="1"/>
    <col min="6" max="6" width="11" customWidth="1"/>
    <col min="7" max="8" width="14" customWidth="1"/>
    <col min="9" max="9" width="15" customWidth="1"/>
    <col min="10" max="10" width="40" customWidth="1"/>
    <col min="11" max="11" width="24" customWidth="1"/>
  </cols>
  <sheetData>
    <row r="1" spans="1:11" ht="32" customHeight="1" x14ac:dyDescent="0.35">
      <c r="A1" s="36" t="s">
        <v>877</v>
      </c>
      <c r="B1" s="37"/>
      <c r="C1" s="37"/>
      <c r="D1" s="37"/>
      <c r="E1" s="37"/>
      <c r="F1" s="37"/>
      <c r="G1" s="37"/>
      <c r="H1" s="37"/>
      <c r="I1" s="37"/>
      <c r="J1" s="37"/>
      <c r="K1" s="37"/>
    </row>
    <row r="2" spans="1:11" ht="19" customHeight="1" x14ac:dyDescent="0.35">
      <c r="A2" s="44" t="str">
        <f>"Tuần 49 – 52   │   "&amp;TEXT(NGAY_BAT_DAU+336,"dd/mm/yyyy")&amp;"  →  "&amp;TEXT(NGAY_BAT_DAU+363,"dd/mm/yyyy")&amp;"   │   4 tuần rút gọn   │   TỔNG KẾT NĂM 1 → GIAI ĐOẠN 5: MỞ RỘNG"</f>
        <v>Tuần 49 – 52   │   16/08/2027  →  12/09/2027   │   4 tuần rút gọn   │   TỔNG KẾT NĂM 1 → GIAI ĐOẠN 5: MỞ RỘNG</v>
      </c>
      <c r="B2" s="31"/>
      <c r="C2" s="31"/>
      <c r="D2" s="31"/>
      <c r="E2" s="31"/>
      <c r="F2" s="31"/>
      <c r="G2" s="31"/>
      <c r="H2" s="31"/>
      <c r="I2" s="31"/>
      <c r="J2" s="31"/>
      <c r="K2" s="31"/>
    </row>
    <row r="3" spans="1:11" ht="7" customHeight="1" x14ac:dyDescent="0.35"/>
    <row r="4" spans="1:11" ht="40" customHeight="1" x14ac:dyDescent="0.35">
      <c r="A4" s="4" t="s">
        <v>7</v>
      </c>
      <c r="B4" s="4" t="s">
        <v>8</v>
      </c>
      <c r="C4" s="4" t="s">
        <v>9</v>
      </c>
      <c r="D4" s="4" t="s">
        <v>10</v>
      </c>
      <c r="E4" s="4" t="s">
        <v>11</v>
      </c>
      <c r="F4" s="4" t="s">
        <v>12</v>
      </c>
      <c r="G4" s="4" t="s">
        <v>13</v>
      </c>
      <c r="H4" s="4" t="s">
        <v>14</v>
      </c>
      <c r="I4" s="4" t="s">
        <v>15</v>
      </c>
      <c r="J4" s="4" t="s">
        <v>16</v>
      </c>
      <c r="K4" s="4" t="s">
        <v>17</v>
      </c>
    </row>
    <row r="5" spans="1:11" ht="30" customHeight="1" x14ac:dyDescent="0.35">
      <c r="A5" s="32" t="str">
        <f>"📅 TUẦN 49  ·  "&amp;TEXT(NGAY_BAT_DAU+336,"dd/mm/yyyy")&amp;" – "&amp;TEXT(NGAY_BAT_DAU+342,"dd/mm/yyyy")&amp;"  —  Hồ sơ cuộc thi / gọi vốn hoặc kế hoạch tự nuôi · Kiểm kê tài sản  │  🎯 Mục tiêu: Chuẩn bị theo ADR T48; biết tổ chức đang sở hữu những gì.  │  💡 Cuối tuần biết được: Tài sản t"&amp;"hật của tổ chức sau 12 tháng."</f>
        <v>📅 TUẦN 49  ·  16/08/2027 – 22/08/2027  —  Hồ sơ cuộc thi / gọi vốn hoặc kế hoạch tự nuôi · Kiểm kê tài sản  │  🎯 Mục tiêu: Chuẩn bị theo ADR T48; biết tổ chức đang sở hữu những gì.  │  💡 Cuối tuần biết được: Tài sản thật của tổ chức sau 12 tháng.</v>
      </c>
      <c r="B5" s="33"/>
      <c r="C5" s="33"/>
      <c r="D5" s="33"/>
      <c r="E5" s="33"/>
      <c r="F5" s="33"/>
      <c r="G5" s="33"/>
      <c r="H5" s="33"/>
      <c r="I5" s="33"/>
      <c r="J5" s="33"/>
      <c r="K5" s="33"/>
    </row>
    <row r="6" spans="1:11" ht="43.75" customHeight="1" x14ac:dyDescent="0.35">
      <c r="A6" s="21">
        <v>1</v>
      </c>
      <c r="B6" s="46" t="s">
        <v>253</v>
      </c>
      <c r="C6" s="6" t="s">
        <v>878</v>
      </c>
      <c r="D6" s="7" t="s">
        <v>879</v>
      </c>
      <c r="E6" s="7"/>
      <c r="F6" s="9" t="s">
        <v>213</v>
      </c>
      <c r="G6" s="10">
        <f>NGAY_BAT_DAU+336</f>
        <v>46615</v>
      </c>
      <c r="H6" s="10">
        <f>NGAY_BAT_DAU+342</f>
        <v>46621</v>
      </c>
      <c r="I6" s="23" t="s">
        <v>276</v>
      </c>
      <c r="J6" s="7" t="s">
        <v>880</v>
      </c>
      <c r="K6" s="12"/>
    </row>
    <row r="7" spans="1:11" ht="56.4" customHeight="1" x14ac:dyDescent="0.35">
      <c r="A7" s="21">
        <v>2</v>
      </c>
      <c r="B7" s="40"/>
      <c r="C7" s="13" t="s">
        <v>881</v>
      </c>
      <c r="D7" s="14" t="s">
        <v>882</v>
      </c>
      <c r="E7" s="14"/>
      <c r="F7" s="16" t="s">
        <v>290</v>
      </c>
      <c r="G7" s="10">
        <f>NGAY_BAT_DAU+336</f>
        <v>46615</v>
      </c>
      <c r="H7" s="10">
        <f>NGAY_BAT_DAU+342</f>
        <v>46621</v>
      </c>
      <c r="I7" s="23" t="s">
        <v>276</v>
      </c>
      <c r="J7" s="14" t="s">
        <v>883</v>
      </c>
      <c r="K7" s="17"/>
    </row>
    <row r="8" spans="1:11" ht="30" customHeight="1" x14ac:dyDescent="0.35">
      <c r="A8" s="32" t="str">
        <f>"📅 TUẦN 50  ·  "&amp;TEXT(NGAY_BAT_DAU+343,"dd/mm/yyyy")&amp;" – "&amp;TEXT(NGAY_BAT_DAU+349,"dd/mm/yyyy")&amp;"  —  Tổng kết năm 1 · Phỏng vấn 10 người dùng lâu nhất  │  🎯 Mục tiêu: Rút bài học theo 6 lớp; nghe người ở lại lâu nhất.  │  💡 Cuối tuần biết được: Vì sao người ta ở lại 6+ tháng "&amp;"và họ muốn gì ở năm 2."</f>
        <v>📅 TUẦN 50  ·  23/08/2027 – 29/08/2027  —  Tổng kết năm 1 · Phỏng vấn 10 người dùng lâu nhất  │  🎯 Mục tiêu: Rút bài học theo 6 lớp; nghe người ở lại lâu nhất.  │  💡 Cuối tuần biết được: Vì sao người ta ở lại 6+ tháng và họ muốn gì ở năm 2.</v>
      </c>
      <c r="B8" s="33"/>
      <c r="C8" s="33"/>
      <c r="D8" s="33"/>
      <c r="E8" s="33"/>
      <c r="F8" s="33"/>
      <c r="G8" s="33"/>
      <c r="H8" s="33"/>
      <c r="I8" s="33"/>
      <c r="J8" s="33"/>
      <c r="K8" s="33"/>
    </row>
    <row r="9" spans="1:11" ht="31.25" customHeight="1" x14ac:dyDescent="0.35">
      <c r="A9" s="21">
        <v>3</v>
      </c>
      <c r="B9" s="46" t="s">
        <v>253</v>
      </c>
      <c r="C9" s="6" t="s">
        <v>884</v>
      </c>
      <c r="D9" s="7" t="s">
        <v>885</v>
      </c>
      <c r="E9" s="7"/>
      <c r="F9" s="9" t="s">
        <v>197</v>
      </c>
      <c r="G9" s="10">
        <f>NGAY_BAT_DAU+343</f>
        <v>46622</v>
      </c>
      <c r="H9" s="10">
        <f>NGAY_BAT_DAU+349</f>
        <v>46628</v>
      </c>
      <c r="I9" s="23" t="s">
        <v>276</v>
      </c>
      <c r="J9" s="7" t="s">
        <v>886</v>
      </c>
      <c r="K9" s="12"/>
    </row>
    <row r="10" spans="1:11" ht="31.25" customHeight="1" x14ac:dyDescent="0.35">
      <c r="A10" s="21">
        <v>4</v>
      </c>
      <c r="B10" s="40"/>
      <c r="C10" s="13" t="s">
        <v>887</v>
      </c>
      <c r="D10" s="14" t="s">
        <v>888</v>
      </c>
      <c r="E10" s="14"/>
      <c r="F10" s="16" t="s">
        <v>286</v>
      </c>
      <c r="G10" s="10">
        <f>NGAY_BAT_DAU+343</f>
        <v>46622</v>
      </c>
      <c r="H10" s="10">
        <f>NGAY_BAT_DAU+349</f>
        <v>46628</v>
      </c>
      <c r="I10" s="23" t="s">
        <v>276</v>
      </c>
      <c r="J10" s="14" t="s">
        <v>889</v>
      </c>
      <c r="K10" s="17"/>
    </row>
    <row r="11" spans="1:11" ht="30" customHeight="1" x14ac:dyDescent="0.35">
      <c r="A11" s="32" t="str">
        <f>"📅 TUẦN 51  ·  "&amp;TEXT(NGAY_BAT_DAU+350,"dd/mm/yyyy")&amp;" – "&amp;TEXT(NGAY_BAT_DAU+356,"dd/mm/yyyy")&amp;"  —  Business.md 1.0 · Kế hoạch năm 2  │  🎯 Mục tiêu: Viết lại tài liệu nền từ bằng chứng; vạch giai đoạn 5.  │  💡 Cuối tuần biết được: Năm 2 làm gì, với ai, bằng tiền nào."</f>
        <v>📅 TUẦN 51  ·  30/08/2027 – 05/09/2027  —  Business.md 1.0 · Kế hoạch năm 2  │  🎯 Mục tiêu: Viết lại tài liệu nền từ bằng chứng; vạch giai đoạn 5.  │  💡 Cuối tuần biết được: Năm 2 làm gì, với ai, bằng tiền nào.</v>
      </c>
      <c r="B11" s="33"/>
      <c r="C11" s="33"/>
      <c r="D11" s="33"/>
      <c r="E11" s="33"/>
      <c r="F11" s="33"/>
      <c r="G11" s="33"/>
      <c r="H11" s="33"/>
      <c r="I11" s="33"/>
      <c r="J11" s="33"/>
      <c r="K11" s="33"/>
    </row>
    <row r="12" spans="1:11" ht="28" customHeight="1" x14ac:dyDescent="0.35">
      <c r="A12" s="21">
        <v>5</v>
      </c>
      <c r="B12" s="46" t="s">
        <v>253</v>
      </c>
      <c r="C12" s="6" t="s">
        <v>890</v>
      </c>
      <c r="D12" s="7" t="s">
        <v>891</v>
      </c>
      <c r="E12" s="7"/>
      <c r="F12" s="9" t="s">
        <v>275</v>
      </c>
      <c r="G12" s="10">
        <f>NGAY_BAT_DAU+350</f>
        <v>46629</v>
      </c>
      <c r="H12" s="10">
        <f>NGAY_BAT_DAU+356</f>
        <v>46635</v>
      </c>
      <c r="I12" s="23" t="s">
        <v>276</v>
      </c>
      <c r="J12" s="7" t="s">
        <v>892</v>
      </c>
      <c r="K12" s="12"/>
    </row>
    <row r="13" spans="1:11" ht="43.75" customHeight="1" x14ac:dyDescent="0.35">
      <c r="A13" s="21">
        <v>6</v>
      </c>
      <c r="B13" s="40"/>
      <c r="C13" s="13" t="s">
        <v>893</v>
      </c>
      <c r="D13" s="14" t="s">
        <v>894</v>
      </c>
      <c r="E13" s="14"/>
      <c r="F13" s="16" t="s">
        <v>197</v>
      </c>
      <c r="G13" s="10">
        <f>NGAY_BAT_DAU+350</f>
        <v>46629</v>
      </c>
      <c r="H13" s="10">
        <f>NGAY_BAT_DAU+356</f>
        <v>46635</v>
      </c>
      <c r="I13" s="23" t="s">
        <v>276</v>
      </c>
      <c r="J13" s="14" t="s">
        <v>895</v>
      </c>
      <c r="K13" s="17"/>
    </row>
    <row r="14" spans="1:11" ht="30" customHeight="1" x14ac:dyDescent="0.35">
      <c r="A14" s="32" t="str">
        <f>"📅 TUẦN 52  ·  "&amp;TEXT(NGAY_BAT_DAU+357,"dd/mm/yyyy")&amp;" – "&amp;TEXT(NGAY_BAT_DAU+363,"dd/mm/yyyy")&amp;"  —  Họp tổng kết · Quyết định năm 2 · Nghỉ  │  🎯 Mục tiêu: Đóng năm 1.  │  💡 Cuối tuần biết được: Cả nhóm cùng hiểu năm 1 đã học gì và năm 2 đi đâu."</f>
        <v>📅 TUẦN 52  ·  06/09/2027 – 12/09/2027  —  Họp tổng kết · Quyết định năm 2 · Nghỉ  │  🎯 Mục tiêu: Đóng năm 1.  │  💡 Cuối tuần biết được: Cả nhóm cùng hiểu năm 1 đã học gì và năm 2 đi đâu.</v>
      </c>
      <c r="B14" s="33"/>
      <c r="C14" s="33"/>
      <c r="D14" s="33"/>
      <c r="E14" s="33"/>
      <c r="F14" s="33"/>
      <c r="G14" s="33"/>
      <c r="H14" s="33"/>
      <c r="I14" s="33"/>
      <c r="J14" s="33"/>
      <c r="K14" s="33"/>
    </row>
    <row r="15" spans="1:11" ht="31.25" customHeight="1" x14ac:dyDescent="0.35">
      <c r="A15" s="21">
        <v>7</v>
      </c>
      <c r="B15" s="22" t="s">
        <v>253</v>
      </c>
      <c r="C15" s="6" t="s">
        <v>896</v>
      </c>
      <c r="D15" s="7" t="s">
        <v>897</v>
      </c>
      <c r="E15" s="7"/>
      <c r="F15" s="9" t="s">
        <v>197</v>
      </c>
      <c r="G15" s="10">
        <f>NGAY_BAT_DAU+357</f>
        <v>46636</v>
      </c>
      <c r="H15" s="10">
        <f>NGAY_BAT_DAU+363</f>
        <v>46642</v>
      </c>
      <c r="I15" s="23" t="s">
        <v>276</v>
      </c>
      <c r="J15" s="7" t="s">
        <v>898</v>
      </c>
      <c r="K15" s="12"/>
    </row>
  </sheetData>
  <mergeCells count="9">
    <mergeCell ref="A14:K14"/>
    <mergeCell ref="B6:B7"/>
    <mergeCell ref="A1:K1"/>
    <mergeCell ref="A8:K8"/>
    <mergeCell ref="B9:B10"/>
    <mergeCell ref="B12:B13"/>
    <mergeCell ref="A2:K2"/>
    <mergeCell ref="A11:K11"/>
    <mergeCell ref="A5:K5"/>
  </mergeCells>
  <conditionalFormatting sqref="I5:I15">
    <cfRule type="cellIs" dxfId="3" priority="1" operator="equal">
      <formula>"Xong"</formula>
    </cfRule>
    <cfRule type="cellIs" dxfId="2" priority="2" operator="equal">
      <formula>"Đang làm"</formula>
    </cfRule>
    <cfRule type="cellIs" dxfId="1" priority="3" operator="equal">
      <formula>"Cắt"</formula>
    </cfRule>
    <cfRule type="cellIs" dxfId="0" priority="4" operator="equal">
      <formula>"Tạm hoãn"</formula>
    </cfRule>
  </conditionalFormatting>
  <dataValidations count="1">
    <dataValidation type="list" allowBlank="1" sqref="I5:I15" xr:uid="{00000000-0002-0000-0700-000000000000}">
      <formula1>"Chưa bắt đầu,Đang làm,Xong,Cắt,Tạm hoãn"</formula1>
    </dataValidation>
  </dataValidations>
  <pageMargins left="0.75" right="0.75" top="1" bottom="1" header="0.5" footer="0.5"/>
  <pageSetup paperSize="8"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8080"/>
    <pageSetUpPr fitToPage="1"/>
  </sheetPr>
  <dimension ref="B2:G51"/>
  <sheetViews>
    <sheetView showGridLines="0" workbookViewId="0"/>
  </sheetViews>
  <sheetFormatPr defaultRowHeight="14.5" x14ac:dyDescent="0.35"/>
  <cols>
    <col min="1" max="1" width="4" customWidth="1"/>
    <col min="2" max="2" width="26" customWidth="1"/>
    <col min="3" max="3" width="46" customWidth="1"/>
    <col min="4" max="7" width="14" customWidth="1"/>
  </cols>
  <sheetData>
    <row r="2" spans="2:7" ht="30" customHeight="1" x14ac:dyDescent="0.4">
      <c r="B2" s="49" t="s">
        <v>899</v>
      </c>
      <c r="C2" s="35"/>
      <c r="D2" s="35"/>
      <c r="E2" s="35"/>
      <c r="F2" s="35"/>
      <c r="G2" s="35"/>
    </row>
    <row r="4" spans="2:7" ht="24" customHeight="1" x14ac:dyDescent="0.35">
      <c r="B4" s="48" t="s">
        <v>900</v>
      </c>
      <c r="C4" s="37"/>
      <c r="D4" s="37"/>
      <c r="E4" s="37"/>
      <c r="F4" s="37"/>
      <c r="G4" s="37"/>
    </row>
    <row r="5" spans="2:7" ht="28.75" customHeight="1" x14ac:dyDescent="0.35">
      <c r="B5" s="24" t="s">
        <v>901</v>
      </c>
      <c r="C5" s="47" t="s">
        <v>902</v>
      </c>
      <c r="D5" s="35"/>
      <c r="E5" s="35"/>
      <c r="F5" s="35"/>
      <c r="G5" s="35"/>
    </row>
    <row r="6" spans="2:7" ht="28.75" customHeight="1" x14ac:dyDescent="0.35">
      <c r="B6" s="24" t="s">
        <v>903</v>
      </c>
      <c r="C6" s="47" t="s">
        <v>904</v>
      </c>
      <c r="D6" s="35"/>
      <c r="E6" s="35"/>
      <c r="F6" s="35"/>
      <c r="G6" s="35"/>
    </row>
    <row r="7" spans="2:7" ht="28.75" customHeight="1" x14ac:dyDescent="0.35">
      <c r="B7" s="24" t="s">
        <v>905</v>
      </c>
      <c r="C7" s="47" t="s">
        <v>906</v>
      </c>
      <c r="D7" s="35"/>
      <c r="E7" s="35"/>
      <c r="F7" s="35"/>
      <c r="G7" s="35"/>
    </row>
    <row r="8" spans="2:7" ht="28.75" customHeight="1" x14ac:dyDescent="0.35">
      <c r="B8" s="24" t="s">
        <v>907</v>
      </c>
      <c r="C8" s="47" t="s">
        <v>908</v>
      </c>
      <c r="D8" s="35"/>
      <c r="E8" s="35"/>
      <c r="F8" s="35"/>
      <c r="G8" s="35"/>
    </row>
    <row r="9" spans="2:7" ht="17" customHeight="1" x14ac:dyDescent="0.35">
      <c r="B9" s="24" t="s">
        <v>909</v>
      </c>
      <c r="C9" s="47" t="s">
        <v>910</v>
      </c>
      <c r="D9" s="35"/>
      <c r="E9" s="35"/>
      <c r="F9" s="35"/>
      <c r="G9" s="35"/>
    </row>
    <row r="10" spans="2:7" ht="17" customHeight="1" x14ac:dyDescent="0.35">
      <c r="B10" s="24" t="s">
        <v>911</v>
      </c>
      <c r="C10" s="47" t="s">
        <v>912</v>
      </c>
      <c r="D10" s="35"/>
      <c r="E10" s="35"/>
      <c r="F10" s="35"/>
      <c r="G10" s="35"/>
    </row>
    <row r="12" spans="2:7" ht="24" customHeight="1" x14ac:dyDescent="0.35">
      <c r="B12" s="48" t="s">
        <v>913</v>
      </c>
      <c r="C12" s="37"/>
      <c r="D12" s="37"/>
      <c r="E12" s="37"/>
      <c r="F12" s="37"/>
      <c r="G12" s="37"/>
    </row>
    <row r="13" spans="2:7" ht="28.75" customHeight="1" x14ac:dyDescent="0.35">
      <c r="B13" s="24" t="s">
        <v>914</v>
      </c>
      <c r="C13" s="47" t="s">
        <v>915</v>
      </c>
      <c r="D13" s="35"/>
      <c r="E13" s="35"/>
      <c r="F13" s="35"/>
      <c r="G13" s="35"/>
    </row>
    <row r="14" spans="2:7" ht="28.75" customHeight="1" x14ac:dyDescent="0.35">
      <c r="B14" s="24" t="s">
        <v>916</v>
      </c>
      <c r="C14" s="47" t="s">
        <v>917</v>
      </c>
      <c r="D14" s="35"/>
      <c r="E14" s="35"/>
      <c r="F14" s="35"/>
      <c r="G14" s="35"/>
    </row>
    <row r="15" spans="2:7" ht="17" customHeight="1" x14ac:dyDescent="0.35">
      <c r="B15" s="24" t="s">
        <v>918</v>
      </c>
      <c r="C15" s="47" t="s">
        <v>919</v>
      </c>
      <c r="D15" s="35"/>
      <c r="E15" s="35"/>
      <c r="F15" s="35"/>
      <c r="G15" s="35"/>
    </row>
    <row r="16" spans="2:7" ht="17" customHeight="1" x14ac:dyDescent="0.35">
      <c r="B16" s="24" t="s">
        <v>920</v>
      </c>
      <c r="C16" s="47" t="s">
        <v>921</v>
      </c>
      <c r="D16" s="35"/>
      <c r="E16" s="35"/>
      <c r="F16" s="35"/>
      <c r="G16" s="35"/>
    </row>
    <row r="17" spans="2:7" ht="28.75" customHeight="1" x14ac:dyDescent="0.35">
      <c r="B17" s="24" t="s">
        <v>922</v>
      </c>
      <c r="C17" s="47" t="s">
        <v>923</v>
      </c>
      <c r="D17" s="35"/>
      <c r="E17" s="35"/>
      <c r="F17" s="35"/>
      <c r="G17" s="35"/>
    </row>
    <row r="18" spans="2:7" ht="17" customHeight="1" x14ac:dyDescent="0.35">
      <c r="B18" s="24" t="s">
        <v>197</v>
      </c>
      <c r="C18" s="47" t="s">
        <v>924</v>
      </c>
      <c r="D18" s="35"/>
      <c r="E18" s="35"/>
      <c r="F18" s="35"/>
      <c r="G18" s="35"/>
    </row>
    <row r="20" spans="2:7" ht="24" customHeight="1" x14ac:dyDescent="0.35">
      <c r="B20" s="48" t="s">
        <v>925</v>
      </c>
      <c r="C20" s="37"/>
      <c r="D20" s="37"/>
      <c r="E20" s="37"/>
      <c r="F20" s="37"/>
      <c r="G20" s="37"/>
    </row>
    <row r="21" spans="2:7" ht="17" customHeight="1" x14ac:dyDescent="0.35">
      <c r="B21" s="24" t="s">
        <v>276</v>
      </c>
      <c r="C21" s="47" t="s">
        <v>926</v>
      </c>
      <c r="D21" s="35"/>
      <c r="E21" s="35"/>
      <c r="F21" s="35"/>
      <c r="G21" s="35"/>
    </row>
    <row r="22" spans="2:7" ht="17" customHeight="1" x14ac:dyDescent="0.35">
      <c r="B22" s="24" t="s">
        <v>927</v>
      </c>
      <c r="C22" s="47" t="s">
        <v>928</v>
      </c>
      <c r="D22" s="35"/>
      <c r="E22" s="35"/>
      <c r="F22" s="35"/>
      <c r="G22" s="35"/>
    </row>
    <row r="23" spans="2:7" ht="17" customHeight="1" x14ac:dyDescent="0.35">
      <c r="B23" s="24" t="s">
        <v>929</v>
      </c>
      <c r="C23" s="47" t="s">
        <v>930</v>
      </c>
      <c r="D23" s="35"/>
      <c r="E23" s="35"/>
      <c r="F23" s="35"/>
      <c r="G23" s="35"/>
    </row>
    <row r="24" spans="2:7" ht="17" customHeight="1" x14ac:dyDescent="0.35">
      <c r="B24" s="24" t="s">
        <v>931</v>
      </c>
      <c r="C24" s="47" t="s">
        <v>932</v>
      </c>
      <c r="D24" s="35"/>
      <c r="E24" s="35"/>
      <c r="F24" s="35"/>
      <c r="G24" s="35"/>
    </row>
    <row r="25" spans="2:7" ht="17" customHeight="1" x14ac:dyDescent="0.35">
      <c r="B25" s="24" t="s">
        <v>933</v>
      </c>
      <c r="C25" s="47" t="s">
        <v>934</v>
      </c>
      <c r="D25" s="35"/>
      <c r="E25" s="35"/>
      <c r="F25" s="35"/>
      <c r="G25" s="35"/>
    </row>
    <row r="27" spans="2:7" ht="24" customHeight="1" x14ac:dyDescent="0.35">
      <c r="B27" s="48" t="s">
        <v>935</v>
      </c>
      <c r="C27" s="37"/>
      <c r="D27" s="37"/>
      <c r="E27" s="37"/>
      <c r="F27" s="37"/>
      <c r="G27" s="37"/>
    </row>
    <row r="28" spans="2:7" ht="20" customHeight="1" x14ac:dyDescent="0.35">
      <c r="B28" s="25" t="s">
        <v>936</v>
      </c>
      <c r="C28" s="25" t="s">
        <v>937</v>
      </c>
      <c r="D28" s="25" t="s">
        <v>938</v>
      </c>
      <c r="E28" s="25" t="s">
        <v>929</v>
      </c>
      <c r="F28" s="25" t="s">
        <v>927</v>
      </c>
      <c r="G28" s="25" t="s">
        <v>939</v>
      </c>
    </row>
    <row r="29" spans="2:7" ht="18" customHeight="1" x14ac:dyDescent="0.35">
      <c r="B29" s="22" t="s">
        <v>940</v>
      </c>
      <c r="C29" s="26" t="s">
        <v>941</v>
      </c>
      <c r="D29" s="23">
        <f>COUNT('C1_T01-08'!$A:$A)</f>
        <v>52</v>
      </c>
      <c r="E29" s="23">
        <f>COUNTIF('C1_T01-08'!$I:$I,"Xong")</f>
        <v>0</v>
      </c>
      <c r="F29" s="23">
        <f>COUNTIF('C1_T01-08'!$I:$I,"Đang làm")</f>
        <v>0</v>
      </c>
      <c r="G29" s="27">
        <f t="shared" ref="G29:G36" si="0">IFERROR(E29/D29,0)</f>
        <v>0</v>
      </c>
    </row>
    <row r="30" spans="2:7" ht="18" customHeight="1" x14ac:dyDescent="0.35">
      <c r="B30" s="22" t="s">
        <v>942</v>
      </c>
      <c r="C30" s="26" t="s">
        <v>943</v>
      </c>
      <c r="D30" s="23">
        <f>COUNT('C2_T09-16'!$A:$A)</f>
        <v>38</v>
      </c>
      <c r="E30" s="23">
        <f>COUNTIF('C2_T09-16'!$I:$I,"Xong")</f>
        <v>0</v>
      </c>
      <c r="F30" s="23">
        <f>COUNTIF('C2_T09-16'!$I:$I,"Đang làm")</f>
        <v>0</v>
      </c>
      <c r="G30" s="27">
        <f t="shared" si="0"/>
        <v>0</v>
      </c>
    </row>
    <row r="31" spans="2:7" ht="18" customHeight="1" x14ac:dyDescent="0.35">
      <c r="B31" s="22" t="s">
        <v>944</v>
      </c>
      <c r="C31" s="26" t="s">
        <v>945</v>
      </c>
      <c r="D31" s="23">
        <f>COUNT('C3_T17-24'!$A:$A)</f>
        <v>32</v>
      </c>
      <c r="E31" s="23">
        <f>COUNTIF('C3_T17-24'!$I:$I,"Xong")</f>
        <v>0</v>
      </c>
      <c r="F31" s="23">
        <f>COUNTIF('C3_T17-24'!$I:$I,"Đang làm")</f>
        <v>0</v>
      </c>
      <c r="G31" s="27">
        <f t="shared" si="0"/>
        <v>0</v>
      </c>
    </row>
    <row r="32" spans="2:7" ht="18" customHeight="1" x14ac:dyDescent="0.35">
      <c r="B32" s="22" t="s">
        <v>946</v>
      </c>
      <c r="C32" s="26" t="s">
        <v>947</v>
      </c>
      <c r="D32" s="23">
        <f>COUNT('C4_T25-32'!$A:$A)</f>
        <v>33</v>
      </c>
      <c r="E32" s="23">
        <f>COUNTIF('C4_T25-32'!$I:$I,"Xong")</f>
        <v>0</v>
      </c>
      <c r="F32" s="23">
        <f>COUNTIF('C4_T25-32'!$I:$I,"Đang làm")</f>
        <v>0</v>
      </c>
      <c r="G32" s="27">
        <f t="shared" si="0"/>
        <v>0</v>
      </c>
    </row>
    <row r="33" spans="2:7" ht="18" customHeight="1" x14ac:dyDescent="0.35">
      <c r="B33" s="22" t="s">
        <v>948</v>
      </c>
      <c r="C33" s="26" t="s">
        <v>949</v>
      </c>
      <c r="D33" s="23">
        <f>COUNT('C5_T33-40'!$A:$A)</f>
        <v>26</v>
      </c>
      <c r="E33" s="23">
        <f>COUNTIF('C5_T33-40'!$I:$I,"Xong")</f>
        <v>0</v>
      </c>
      <c r="F33" s="23">
        <f>COUNTIF('C5_T33-40'!$I:$I,"Đang làm")</f>
        <v>0</v>
      </c>
      <c r="G33" s="27">
        <f t="shared" si="0"/>
        <v>0</v>
      </c>
    </row>
    <row r="34" spans="2:7" ht="18" customHeight="1" x14ac:dyDescent="0.35">
      <c r="B34" s="22" t="s">
        <v>950</v>
      </c>
      <c r="C34" s="26" t="s">
        <v>951</v>
      </c>
      <c r="D34" s="23">
        <f>COUNT('C6_T41-48'!$A:$A)</f>
        <v>23</v>
      </c>
      <c r="E34" s="23">
        <f>COUNTIF('C6_T41-48'!$I:$I,"Xong")</f>
        <v>0</v>
      </c>
      <c r="F34" s="23">
        <f>COUNTIF('C6_T41-48'!$I:$I,"Đang làm")</f>
        <v>0</v>
      </c>
      <c r="G34" s="27">
        <f t="shared" si="0"/>
        <v>0</v>
      </c>
    </row>
    <row r="35" spans="2:7" ht="18" customHeight="1" x14ac:dyDescent="0.35">
      <c r="B35" s="22" t="s">
        <v>952</v>
      </c>
      <c r="C35" s="26" t="s">
        <v>953</v>
      </c>
      <c r="D35" s="23">
        <f>COUNT('C7_T49-52'!$A:$A)</f>
        <v>7</v>
      </c>
      <c r="E35" s="23">
        <f>COUNTIF('C7_T49-52'!$I:$I,"Xong")</f>
        <v>0</v>
      </c>
      <c r="F35" s="23">
        <f>COUNTIF('C7_T49-52'!$I:$I,"Đang làm")</f>
        <v>0</v>
      </c>
      <c r="G35" s="27">
        <f t="shared" si="0"/>
        <v>0</v>
      </c>
    </row>
    <row r="36" spans="2:7" ht="20" customHeight="1" x14ac:dyDescent="0.35">
      <c r="B36" s="25" t="s">
        <v>954</v>
      </c>
      <c r="C36" s="28" t="s">
        <v>955</v>
      </c>
      <c r="D36" s="25">
        <f>SUM(D29:D35)</f>
        <v>211</v>
      </c>
      <c r="E36" s="25">
        <f>SUM(E29:E35)</f>
        <v>0</v>
      </c>
      <c r="F36" s="25">
        <f>SUM(F29:F35)</f>
        <v>0</v>
      </c>
      <c r="G36" s="29">
        <f t="shared" si="0"/>
        <v>0</v>
      </c>
    </row>
    <row r="38" spans="2:7" ht="24" customHeight="1" x14ac:dyDescent="0.35">
      <c r="B38" s="48" t="s">
        <v>956</v>
      </c>
      <c r="C38" s="37"/>
      <c r="D38" s="37"/>
      <c r="E38" s="37"/>
      <c r="F38" s="37"/>
      <c r="G38" s="37"/>
    </row>
    <row r="39" spans="2:7" ht="28.75" customHeight="1" x14ac:dyDescent="0.35">
      <c r="B39" s="24" t="s">
        <v>957</v>
      </c>
      <c r="C39" s="47" t="s">
        <v>958</v>
      </c>
      <c r="D39" s="35"/>
      <c r="E39" s="35"/>
      <c r="F39" s="35"/>
      <c r="G39" s="35"/>
    </row>
    <row r="40" spans="2:7" ht="41.25" customHeight="1" x14ac:dyDescent="0.35">
      <c r="B40" s="24" t="s">
        <v>959</v>
      </c>
      <c r="C40" s="47" t="s">
        <v>960</v>
      </c>
      <c r="D40" s="35"/>
      <c r="E40" s="35"/>
      <c r="F40" s="35"/>
      <c r="G40" s="35"/>
    </row>
    <row r="41" spans="2:7" ht="41.25" customHeight="1" x14ac:dyDescent="0.35">
      <c r="B41" s="24" t="s">
        <v>961</v>
      </c>
      <c r="C41" s="47" t="s">
        <v>962</v>
      </c>
      <c r="D41" s="35"/>
      <c r="E41" s="35"/>
      <c r="F41" s="35"/>
      <c r="G41" s="35"/>
    </row>
    <row r="42" spans="2:7" ht="28.75" customHeight="1" x14ac:dyDescent="0.35">
      <c r="B42" s="24" t="s">
        <v>963</v>
      </c>
      <c r="C42" s="47" t="s">
        <v>964</v>
      </c>
      <c r="D42" s="35"/>
      <c r="E42" s="35"/>
      <c r="F42" s="35"/>
      <c r="G42" s="35"/>
    </row>
    <row r="43" spans="2:7" ht="28.75" customHeight="1" x14ac:dyDescent="0.35">
      <c r="B43" s="24" t="s">
        <v>965</v>
      </c>
      <c r="C43" s="47" t="s">
        <v>966</v>
      </c>
      <c r="D43" s="35"/>
      <c r="E43" s="35"/>
      <c r="F43" s="35"/>
      <c r="G43" s="35"/>
    </row>
    <row r="45" spans="2:7" ht="24" customHeight="1" x14ac:dyDescent="0.35">
      <c r="B45" s="48" t="s">
        <v>967</v>
      </c>
      <c r="C45" s="37"/>
      <c r="D45" s="37"/>
      <c r="E45" s="37"/>
      <c r="F45" s="37"/>
      <c r="G45" s="37"/>
    </row>
    <row r="46" spans="2:7" ht="28.75" customHeight="1" x14ac:dyDescent="0.35">
      <c r="B46" s="24" t="s">
        <v>968</v>
      </c>
      <c r="C46" s="47" t="s">
        <v>969</v>
      </c>
      <c r="D46" s="35"/>
      <c r="E46" s="35"/>
      <c r="F46" s="35"/>
      <c r="G46" s="35"/>
    </row>
    <row r="47" spans="2:7" ht="28.75" customHeight="1" x14ac:dyDescent="0.35">
      <c r="B47" s="24" t="s">
        <v>970</v>
      </c>
      <c r="C47" s="47" t="s">
        <v>971</v>
      </c>
      <c r="D47" s="35"/>
      <c r="E47" s="35"/>
      <c r="F47" s="35"/>
      <c r="G47" s="35"/>
    </row>
    <row r="48" spans="2:7" ht="28.75" customHeight="1" x14ac:dyDescent="0.35">
      <c r="B48" s="24" t="s">
        <v>972</v>
      </c>
      <c r="C48" s="47" t="s">
        <v>973</v>
      </c>
      <c r="D48" s="35"/>
      <c r="E48" s="35"/>
      <c r="F48" s="35"/>
      <c r="G48" s="35"/>
    </row>
    <row r="49" spans="2:7" ht="28.75" customHeight="1" x14ac:dyDescent="0.35">
      <c r="B49" s="24" t="s">
        <v>974</v>
      </c>
      <c r="C49" s="47" t="s">
        <v>975</v>
      </c>
      <c r="D49" s="35"/>
      <c r="E49" s="35"/>
      <c r="F49" s="35"/>
      <c r="G49" s="35"/>
    </row>
    <row r="50" spans="2:7" ht="28.75" customHeight="1" x14ac:dyDescent="0.35">
      <c r="B50" s="24" t="s">
        <v>976</v>
      </c>
      <c r="C50" s="47" t="s">
        <v>977</v>
      </c>
      <c r="D50" s="35"/>
      <c r="E50" s="35"/>
      <c r="F50" s="35"/>
      <c r="G50" s="35"/>
    </row>
    <row r="51" spans="2:7" ht="28.75" customHeight="1" x14ac:dyDescent="0.35">
      <c r="B51" s="24" t="s">
        <v>978</v>
      </c>
      <c r="C51" s="47" t="s">
        <v>979</v>
      </c>
      <c r="D51" s="35"/>
      <c r="E51" s="35"/>
      <c r="F51" s="35"/>
      <c r="G51" s="35"/>
    </row>
  </sheetData>
  <mergeCells count="35">
    <mergeCell ref="C49:G49"/>
    <mergeCell ref="C6:G6"/>
    <mergeCell ref="C24:G24"/>
    <mergeCell ref="C42:G42"/>
    <mergeCell ref="C15:G15"/>
    <mergeCell ref="C14:G14"/>
    <mergeCell ref="B38:G38"/>
    <mergeCell ref="C10:G10"/>
    <mergeCell ref="C16:G16"/>
    <mergeCell ref="C47:G47"/>
    <mergeCell ref="C9:G9"/>
    <mergeCell ref="B20:G20"/>
    <mergeCell ref="C21:G21"/>
    <mergeCell ref="C40:G40"/>
    <mergeCell ref="C43:G43"/>
    <mergeCell ref="C46:G46"/>
    <mergeCell ref="B45:G45"/>
    <mergeCell ref="B2:G2"/>
    <mergeCell ref="C5:G5"/>
    <mergeCell ref="C51:G51"/>
    <mergeCell ref="B4:G4"/>
    <mergeCell ref="C23:G23"/>
    <mergeCell ref="C39:G39"/>
    <mergeCell ref="C8:G8"/>
    <mergeCell ref="C48:G48"/>
    <mergeCell ref="C17:G17"/>
    <mergeCell ref="C7:G7"/>
    <mergeCell ref="B27:G27"/>
    <mergeCell ref="B12:G12"/>
    <mergeCell ref="C13:G13"/>
    <mergeCell ref="C18:G18"/>
    <mergeCell ref="C50:G50"/>
    <mergeCell ref="C25:G25"/>
    <mergeCell ref="C41:G41"/>
    <mergeCell ref="C22:G22"/>
  </mergeCells>
  <pageMargins left="0.75" right="0.75"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00_Tổng quan</vt:lpstr>
      <vt:lpstr>C1_T01-08</vt:lpstr>
      <vt:lpstr>C2_T09-16</vt:lpstr>
      <vt:lpstr>C3_T17-24</vt:lpstr>
      <vt:lpstr>C4_T25-32</vt:lpstr>
      <vt:lpstr>C5_T33-40</vt:lpstr>
      <vt:lpstr>C6_T41-48</vt:lpstr>
      <vt:lpstr>C7_T49-52</vt:lpstr>
      <vt:lpstr>Chú giải</vt:lpstr>
      <vt:lpstr>NGAY_BAT_DAU</vt:lpstr>
      <vt:lpstr>'00_Tổng quan'!Print_Titles</vt:lpstr>
      <vt:lpstr>'C1_T01-08'!Print_Titles</vt:lpstr>
      <vt:lpstr>'C2_T09-16'!Print_Titles</vt:lpstr>
      <vt:lpstr>'C3_T17-24'!Print_Titles</vt:lpstr>
      <vt:lpstr>'C4_T25-32'!Print_Titles</vt:lpstr>
      <vt:lpstr>'C5_T33-40'!Print_Titles</vt:lpstr>
      <vt:lpstr>'C6_T41-48'!Print_Titles</vt:lpstr>
      <vt:lpstr>'C7_T49-52'!Print_Titles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Duc Tan 20225924</cp:lastModifiedBy>
  <dcterms:created xsi:type="dcterms:W3CDTF">2026-09-22T09:24:09Z</dcterms:created>
  <dcterms:modified xsi:type="dcterms:W3CDTF">2026-09-22T09:25:46Z</dcterms:modified>
</cp:coreProperties>
</file>